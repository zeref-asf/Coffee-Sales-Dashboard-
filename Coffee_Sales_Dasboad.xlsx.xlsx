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BDA39DC-BD41-4A9A-8A9B-A7C4BC373C54}" xr6:coauthVersionLast="47" xr6:coauthVersionMax="47" xr10:uidLastSave="{00000000-0000-0000-0000-000000000000}"/>
  <bookViews>
    <workbookView xWindow="-120" yWindow="-120" windowWidth="29040" windowHeight="15720" xr2:uid="{00000000-000D-0000-FFFF-FFFF00000000}"/>
  </bookViews>
  <sheets>
    <sheet name="CoffeeSalesDashboard" sheetId="22" r:id="rId1"/>
    <sheet name="TatalSales" sheetId="18" r:id="rId2"/>
    <sheet name="SalesByCuntries" sheetId="19"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tl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N688" i="17"/>
  <c r="M279" i="17"/>
  <c r="M357" i="17"/>
  <c r="M432" i="17"/>
  <c r="M489" i="17"/>
  <c r="M537" i="17"/>
  <c r="M576" i="17"/>
  <c r="M612" i="17"/>
  <c r="M648" i="17"/>
  <c r="M682" i="17"/>
  <c r="M708" i="17"/>
  <c r="M741" i="17"/>
  <c r="M826" i="17"/>
  <c r="M897" i="17"/>
  <c r="M919" i="17"/>
  <c r="M936"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<sst xmlns="http://schemas.openxmlformats.org/spreadsheetml/2006/main" count="11128" uniqueCount="6221">
  <si>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</si>
  <si>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</si>
  <si>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</si>
  <si>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</si>
  <si>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</si>
  <si>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</si>
  <si>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</si>
  <si>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</si>
  <si>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</si>
  <si>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</si>
  <si>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</si>
  <si>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</si>
  <si>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</si>
  <si>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</si>
  <si>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</si>
  <si>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</si>
  <si>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</si>
  <si>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</si>
  <si>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</si>
  <si>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</si>
  <si>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</si>
  <si>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</si>
  <si>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</si>
  <si>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</si>
  <si>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</si>
  <si>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</si>
  <si>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</si>
  <si>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</si>
  <si>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</si>
  <si>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</si>
  <si>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</si>
  <si>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</si>
  <si>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</si>
  <si>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</si>
  <si>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</si>
  <si>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</si>
  <si>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</si>
  <si>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</si>
  <si>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</si>
  <si>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</si>
  <si>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</si>
  <si>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</si>
  <si>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</si>
  <si>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</si>
  <si>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</si>
  <si>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</si>
  <si>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</si>
  <si>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</si>
  <si>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</si>
  <si>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</si>
  <si>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</si>
  <si>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</si>
  <si>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</si>
  <si>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</si>
  <si>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</si>
  <si>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</si>
  <si>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</si>
  <si>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</si>
  <si>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</si>
  <si>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</si>
  <si>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</si>
  <si>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</si>
  <si>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</si>
  <si>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</si>
  <si>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</si>
  <si>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</si>
  <si>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</si>
  <si>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</si>
  <si>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</si>
  <si>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</si>
  <si>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</si>
  <si>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</si>
  <si>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</si>
  <si>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</si>
  <si>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</si>
  <si>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</si>
  <si>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</si>
  <si>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</si>
  <si>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</si>
  <si>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</si>
  <si>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</si>
  <si>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</si>
  <si>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</si>
  <si>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</si>
  <si>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</si>
  <si>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</si>
  <si>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</si>
  <si>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</si>
  <si>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</si>
  <si>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</si>
  <si>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</si>
  <si>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</si>
  <si>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</si>
  <si>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</si>
  <si>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</si>
  <si>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</si>
  <si>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</si>
  <si>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</si>
  <si>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</si>
  <si>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</si>
  <si>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</si>
  <si>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</si>
  <si>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</si>
  <si>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</si>
  <si>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</si>
  <si>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</si>
  <si>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</si>
  <si>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</si>
  <si>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</si>
  <si>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</si>
  <si>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</si>
  <si>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</si>
  <si>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</si>
  <si>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</si>
  <si>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</si>
  <si>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</si>
  <si>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</si>
  <si>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</si>
  <si>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</si>
  <si>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</si>
  <si>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</si>
  <si>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</si>
  <si>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</si>
  <si>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</si>
  <si>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</si>
  <si>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</si>
  <si>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</si>
  <si>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</si>
  <si>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</si>
  <si>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</si>
  <si>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</si>
  <si>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</si>
  <si>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</si>
  <si>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</si>
  <si>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</si>
  <si>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</si>
  <si>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</si>
  <si>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</si>
  <si>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</si>
  <si>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</si>
  <si>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</si>
  <si>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</si>
  <si>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</si>
  <si>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</si>
  <si>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</si>
  <si>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</si>
  <si>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</si>
  <si>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</si>
  <si>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</si>
  <si>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</si>
  <si>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</si>
  <si>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</si>
  <si>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</si>
  <si>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</si>
  <si>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</si>
  <si>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</si>
  <si>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</si>
  <si>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</si>
  <si>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</si>
  <si>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</si>
  <si>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</si>
  <si>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</si>
  <si>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</si>
  <si>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</si>
  <si>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</si>
  <si>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</si>
  <si>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</si>
  <si>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</si>
  <si>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</si>
  <si>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</si>
  <si>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</si>
  <si>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</si>
  <si>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</si>
  <si>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</si>
  <si>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</si>
  <si>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</si>
  <si>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</si>
  <si>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</si>
  <si>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</si>
  <si>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</si>
  <si>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</si>
  <si>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</si>
  <si>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</si>
  <si>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</si>
  <si>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</si>
  <si>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</si>
  <si>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</si>
  <si>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</si>
  <si>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</si>
  <si>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</si>
  <si>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</si>
  <si>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</si>
  <si>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</si>
  <si>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</si>
  <si>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</si>
  <si>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</si>
  <si>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</si>
  <si>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</si>
  <si>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</si>
  <si>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</si>
  <si>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</si>
  <si>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</si>
  <si>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</si>
  <si>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</si>
  <si>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</si>
  <si>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</si>
  <si>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</si>
  <si>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</si>
  <si>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</si>
  <si>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</si>
  <si>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</si>
  <si>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</si>
  <si>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</si>
  <si>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</si>
  <si>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</si>
  <si>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</si>
  <si>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</si>
  <si>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</si>
  <si>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</si>
  <si>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</si>
  <si>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</si>
  <si>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</si>
  <si>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</si>
  <si>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</si>
  <si>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</si>
  <si>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</si>
  <si>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</si>
  <si>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</si>
  <si>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</si>
  <si>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</si>
  <si>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</si>
  <si>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</si>
  <si>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</si>
  <si>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</si>
  <si>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</si>
  <si>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</si>
  <si>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</si>
  <si>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</si>
  <si>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</si>
  <si>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</si>
  <si>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</si>
  <si>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</si>
  <si>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</si>
  <si>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</si>
  <si>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</si>
  <si>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</si>
  <si>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</si>
  <si>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</si>
  <si>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</si>
  <si>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</si>
  <si>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</si>
  <si>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</si>
  <si>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</si>
  <si>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</si>
  <si>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</si>
  <si>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</si>
  <si>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</si>
  <si>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</si>
  <si>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</si>
  <si>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</si>
  <si>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</si>
  <si>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</si>
  <si>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</si>
  <si>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</si>
  <si>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</si>
  <si>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</si>
  <si>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</si>
  <si>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</si>
  <si>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</si>
  <si>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</si>
  <si>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</si>
  <si>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</si>
  <si>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</si>
  <si>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</si>
  <si>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</si>
  <si>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</si>
  <si>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</si>
  <si>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</si>
  <si>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</si>
  <si>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</si>
  <si>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</si>
  <si>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</si>
  <si>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</si>
  <si>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</si>
  <si>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</si>
  <si>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</si>
  <si>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</si>
  <si>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</si>
  <si>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</si>
  <si>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</si>
  <si>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</si>
  <si>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</si>
  <si>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</si>
  <si>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</si>
  <si>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</si>
  <si>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</si>
  <si>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</si>
  <si>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</si>
  <si>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</si>
  <si>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</si>
  <si>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</si>
  <si>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</si>
  <si>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</si>
  <si>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</si>
  <si>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</si>
  <si>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</si>
  <si>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</si>
  <si>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</si>
  <si>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</si>
  <si>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</si>
  <si>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</si>
  <si>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</si>
  <si>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</si>
  <si>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</si>
  <si>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</si>
  <si>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</si>
  <si>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</si>
  <si>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</si>
  <si>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</si>
  <si>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</si>
  <si>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</si>
  <si>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</si>
  <si>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</si>
  <si>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</si>
  <si>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</si>
  <si>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</si>
  <si>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</si>
  <si>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</si>
  <si>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</si>
  <si>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</si>
  <si>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</si>
  <si>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</si>
  <si>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</si>
  <si>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</si>
  <si>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</si>
  <si>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</si>
  <si>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</si>
  <si>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</si>
  <si>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</si>
  <si>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</si>
  <si>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</si>
  <si>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</si>
  <si>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</si>
  <si>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</si>
  <si>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</si>
  <si>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</si>
  <si>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</si>
  <si>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</si>
  <si>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</si>
  <si>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</si>
  <si>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</si>
  <si>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</si>
  <si>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</si>
  <si>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</si>
  <si>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</si>
  <si>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</si>
  <si>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</si>
  <si>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</si>
  <si>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</si>
  <si>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</si>
  <si>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</si>
  <si>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</si>
  <si>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</si>
  <si>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</si>
  <si>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</si>
  <si>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</si>
  <si>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</si>
  <si>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</si>
  <si>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</si>
  <si>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</si>
  <si>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</si>
  <si>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</si>
  <si>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</si>
  <si>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</si>
  <si>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</si>
  <si>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</si>
  <si>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</si>
  <si>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</si>
  <si>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</si>
  <si>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</si>
  <si>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</si>
  <si>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</si>
  <si>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</si>
  <si>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</si>
  <si>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</si>
  <si>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</si>
  <si>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</si>
  <si>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</si>
  <si>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</si>
  <si>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</si>
  <si>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</si>
  <si>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</si>
  <si>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</si>
  <si>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</si>
  <si>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</si>
  <si>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</si>
  <si>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</si>
  <si>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</si>
  <si>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</si>
  <si>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</si>
  <si>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</si>
  <si>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</si>
  <si>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</si>
  <si>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</si>
  <si>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</si>
  <si>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</si>
  <si>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</si>
  <si>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</si>
  <si>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</si>
  <si>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</si>
  <si>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</si>
  <si>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</si>
  <si>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</si>
  <si>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</si>
  <si>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</si>
  <si>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</si>
  <si>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</si>
  <si>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</si>
  <si>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</si>
  <si>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</si>
  <si>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</si>
  <si>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</si>
  <si>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</si>
  <si>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</si>
  <si>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</si>
  <si>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</si>
  <si>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</si>
  <si>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</si>
  <si>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</si>
  <si>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</si>
  <si>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</si>
  <si>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</si>
  <si>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</si>
  <si>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</si>
  <si>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</si>
  <si>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</si>
  <si>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</si>
  <si>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</si>
  <si>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</si>
  <si>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</si>
  <si>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</si>
  <si>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</si>
  <si>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</si>
  <si>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</si>
  <si>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</si>
  <si>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</si>
  <si>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</si>
  <si>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</si>
  <si>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</si>
  <si>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</si>
  <si>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</si>
  <si>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</si>
  <si>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</si>
  <si>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</si>
  <si>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</si>
  <si>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</si>
  <si>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</si>
  <si>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</si>
  <si>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</si>
  <si>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</si>
  <si>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</si>
  <si>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</si>
  <si>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</si>
  <si>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</si>
  <si>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</si>
  <si>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</si>
  <si>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</si>
  <si>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</si>
  <si>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</si>
  <si>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</si>
  <si>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</si>
  <si>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</si>
  <si>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</si>
  <si>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</si>
  <si>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</si>
  <si>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</si>
  <si>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</si>
  <si>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</si>
  <si>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</si>
  <si>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</si>
  <si>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</si>
  <si>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</si>
  <si>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</si>
  <si>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</si>
  <si>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</si>
  <si>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</si>
  <si>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</si>
  <si>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</si>
  <si>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</si>
  <si>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</si>
  <si>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</si>
  <si>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</si>
  <si>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</si>
  <si>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</si>
  <si>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</si>
  <si>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</si>
  <si>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</si>
  <si>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</si>
  <si>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</si>
  <si>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</si>
  <si>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</si>
  <si>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</si>
  <si>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</si>
  <si>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</si>
  <si>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</si>
  <si>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</si>
  <si>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</si>
  <si>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</si>
  <si>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</si>
  <si>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</si>
  <si>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</si>
  <si>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</si>
  <si>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</si>
  <si>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</si>
  <si>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</si>
  <si>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</si>
  <si>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</si>
  <si>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</si>
  <si>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</si>
  <si>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</si>
  <si>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</si>
  <si>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</si>
  <si>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</si>
  <si>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</si>
  <si>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</si>
  <si>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</si>
  <si>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</si>
  <si>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</si>
  <si>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</si>
  <si>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</si>
  <si>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</si>
  <si>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</si>
  <si>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</si>
  <si>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</si>
  <si>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</si>
  <si>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</si>
  <si>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</si>
  <si>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</si>
  <si>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</si>
  <si>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</si>
  <si>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</si>
  <si>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</si>
  <si>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</si>
  <si>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</si>
  <si>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</si>
  <si>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</si>
  <si>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</si>
  <si>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</si>
  <si>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</si>
  <si>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</si>
  <si>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</si>
  <si>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</si>
  <si>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</si>
  <si>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</si>
  <si>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</si>
  <si>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</si>
  <si>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</si>
  <si>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</si>
  <si>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</si>
  <si>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</si>
  <si>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</si>
  <si>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</si>
  <si>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</si>
  <si>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</si>
  <si>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</si>
  <si>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</si>
  <si>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</si>
  <si>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</si>
  <si>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</si>
  <si>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</si>
  <si>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</si>
  <si>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</si>
  <si>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</si>
  <si>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</si>
  <si>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</si>
  <si>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</si>
  <si>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</si>
  <si>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</si>
  <si>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</si>
  <si>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</si>
  <si>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</si>
  <si>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</si>
  <si>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</si>
  <si>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</si>
  <si>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</si>
  <si>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</si>
  <si>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</si>
  <si>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</si>
  <si>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</si>
  <si>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</si>
  <si>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</si>
  <si>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</si>
  <si>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</si>
  <si>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</si>
  <si>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</si>
  <si>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</si>
  <si>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</si>
  <si>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</si>
  <si>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</si>
  <si>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</si>
  <si>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</si>
  <si>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</si>
  <si>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</si>
  <si>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</si>
  <si>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</si>
  <si>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</si>
  <si>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</si>
  <si>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</si>
  <si>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</si>
  <si>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</si>
  <si>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</si>
  <si>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</si>
  <si>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</si>
  <si>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</si>
  <si>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</si>
  <si>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</si>
  <si>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</si>
  <si>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</si>
  <si>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</si>
  <si>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</si>
  <si>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</si>
  <si>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</si>
  <si>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</si>
  <si>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</si>
  <si>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</si>
  <si>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</si>
  <si>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</si>
  <si>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</si>
  <si>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</si>
  <si>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</si>
  <si>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</si>
  <si>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</si>
  <si>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</si>
  <si>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</si>
  <si>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</si>
  <si>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</si>
  <si>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</si>
  <si>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</si>
  <si>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</si>
  <si>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</si>
  <si>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</si>
  <si>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</si>
  <si>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</si>
  <si>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</si>
  <si>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</si>
  <si>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</si>
  <si>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</si>
  <si>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</si>
  <si>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</si>
  <si>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</si>
  <si>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</si>
  <si>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</si>
  <si>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</si>
  <si>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</si>
  <si>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</si>
  <si>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</si>
  <si>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</si>
  <si>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</si>
  <si>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</si>
  <si>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</si>
  <si>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</si>
  <si>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</si>
  <si>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</si>
  <si>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</si>
  <si>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</si>
  <si>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</si>
  <si>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</si>
  <si>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</si>
  <si>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</si>
  <si>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</si>
  <si>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</si>
  <si>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</si>
  <si>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</si>
  <si>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</si>
  <si>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</si>
  <si>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</si>
  <si>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</si>
  <si>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</si>
  <si>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</si>
  <si>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</si>
  <si>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</si>
  <si>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</si>
  <si>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</si>
  <si>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</si>
  <si>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</si>
  <si>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</si>
  <si>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</si>
  <si>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</si>
  <si>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</si>
  <si>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</si>
  <si>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</si>
  <si>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</si>
  <si>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</si>
  <si>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</si>
  <si>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</si>
  <si>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</si>
  <si>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</si>
  <si>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</si>
  <si>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</si>
  <si>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</si>
  <si>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</si>
  <si>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</si>
  <si>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</si>
  <si>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</si>
  <si>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</si>
  <si>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</si>
  <si>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</si>
  <si>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</si>
  <si>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</si>
  <si>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</si>
  <si>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</si>
  <si>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</si>
  <si>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</si>
  <si>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</si>
  <si>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</si>
  <si>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</si>
  <si>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</si>
  <si>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</si>
  <si>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</si>
  <si>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</si>
  <si>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</si>
  <si>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</si>
  <si>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</si>
  <si>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</si>
  <si>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</si>
  <si>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</si>
  <si>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</si>
  <si>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</si>
  <si>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</si>
  <si>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</si>
  <si>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</si>
  <si>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</si>
  <si>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</si>
  <si>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</si>
  <si>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</si>
  <si>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</si>
  <si>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</si>
  <si>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</si>
  <si>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</si>
  <si>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</si>
  <si>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</si>
  <si>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</si>
  <si>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</si>
  <si>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</si>
  <si>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</si>
  <si>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</si>
  <si>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</si>
  <si>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</si>
  <si>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</si>
  <si>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</si>
  <si>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</si>
  <si>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</si>
  <si>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</si>
  <si>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</si>
  <si>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</si>
  <si>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</si>
  <si>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</si>
  <si>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</si>
  <si>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</si>
  <si>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</si>
  <si>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</si>
  <si>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</si>
  <si>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</si>
  <si>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</si>
  <si>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</si>
  <si>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</si>
  <si>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</si>
  <si>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</si>
  <si>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</si>
  <si>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</si>
  <si>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</si>
  <si>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</si>
  <si>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</si>
  <si>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</si>
  <si>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</si>
  <si>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</si>
  <si>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</si>
  <si>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</si>
  <si>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</si>
  <si>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</si>
  <si>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</si>
  <si>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</si>
  <si>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</si>
  <si>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</si>
  <si>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</si>
  <si>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</si>
  <si>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</si>
  <si>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</si>
  <si>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</si>
  <si>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</si>
  <si>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</si>
  <si>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</si>
  <si>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</si>
  <si>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</si>
  <si>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</si>
  <si>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</si>
  <si>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</si>
  <si>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</si>
  <si>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</si>
  <si>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</si>
  <si>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</si>
  <si>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</si>
  <si>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</si>
  <si>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</si>
  <si>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</si>
  <si>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</si>
  <si>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</si>
  <si>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</si>
  <si>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</si>
  <si>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</si>
  <si>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</si>
  <si>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</si>
  <si>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</si>
  <si>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</si>
  <si>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</si>
  <si>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</si>
  <si>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</si>
  <si>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</si>
  <si>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</si>
  <si>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</si>
  <si>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</si>
  <si>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</si>
  <si>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</si>
  <si>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</si>
  <si>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</si>
  <si>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</si>
  <si>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</si>
  <si>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</si>
  <si>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</si>
  <si>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</si>
  <si>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</si>
  <si>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</si>
  <si>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</si>
  <si>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</si>
  <si>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</si>
  <si>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</si>
  <si>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</si>
  <si>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</si>
  <si>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</si>
  <si>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</si>
  <si>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</si>
  <si>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</si>
  <si>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</si>
  <si>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</si>
  <si>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</si>
  <si>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</si>
  <si>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</si>
  <si>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</si>
  <si>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</si>
  <si>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</si>
  <si>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</si>
  <si>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</si>
  <si>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</si>
  <si>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</si>
  <si>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</si>
  <si>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</si>
  <si>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</si>
  <si>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</si>
  <si>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</si>
  <si>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</si>
  <si>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</si>
  <si>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</si>
  <si>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</si>
  <si>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</si>
  <si>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</si>
  <si>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</si>
  <si>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</si>
  <si>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</si>
  <si>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</si>
  <si>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</si>
  <si>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</si>
  <si>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</si>
  <si>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</si>
  <si>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</si>
  <si>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</si>
  <si>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</si>
  <si>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</si>
  <si>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</si>
  <si>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</si>
  <si>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</si>
  <si>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</si>
  <si>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</si>
  <si>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</si>
  <si>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</si>
  <si>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</si>
  <si>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</si>
  <si>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</si>
  <si>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</si>
  <si>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</si>
  <si>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</si>
  <si>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</si>
  <si>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</si>
  <si>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</si>
  <si>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</si>
  <si>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</si>
  <si>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</si>
  <si>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</si>
  <si>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</si>
  <si>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</si>
  <si>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</si>
  <si>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</si>
  <si>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</si>
  <si>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</si>
  <si>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</si>
  <si>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</si>
  <si>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</si>
  <si>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</si>
  <si>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</si>
  <si>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</si>
  <si>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</si>
  <si>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</si>
  <si>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</si>
  <si>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</si>
  <si>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</si>
  <si>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</si>
  <si>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</si>
  <si>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</si>
  <si>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</si>
  <si>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</si>
  <si>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</si>
  <si>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</si>
  <si>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</si>
  <si>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</si>
  <si>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</si>
  <si>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</si>
  <si>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</si>
  <si>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</si>
  <si>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</si>
  <si>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</si>
  <si>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</si>
  <si>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</si>
  <si>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</si>
  <si>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</si>
  <si>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</si>
  <si>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</si>
  <si>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</si>
  <si>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</si>
  <si>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</si>
  <si>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</si>
  <si>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</si>
  <si>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</si>
  <si>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</si>
  <si>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</si>
  <si>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</si>
  <si>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</si>
  <si>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</si>
  <si>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</si>
  <si>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</si>
  <si>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</si>
  <si>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</si>
  <si>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</si>
  <si>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</si>
  <si>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</si>
  <si>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</si>
  <si>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</si>
  <si>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</si>
  <si>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</si>
  <si>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</si>
  <si>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</si>
  <si>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</si>
  <si>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</si>
  <si>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</si>
  <si>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</si>
  <si>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</si>
  <si>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</si>
  <si>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</si>
  <si>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</si>
  <si>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</si>
  <si>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</si>
  <si>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</si>
  <si>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</si>
  <si>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</si>
  <si>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</si>
  <si>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</si>
  <si>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</si>
  <si>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</si>
  <si>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</si>
  <si>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</si>
  <si>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</si>
  <si>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</si>
  <si>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</si>
  <si>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</si>
  <si>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</si>
  <si>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</si>
  <si>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</si>
  <si>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</si>
  <si>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</si>
  <si>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</si>
  <si>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</si>
  <si>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</si>
  <si>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</si>
  <si>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</si>
  <si>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</si>
  <si>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</si>
  <si>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</si>
  <si>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</si>
  <si>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</si>
  <si>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</si>
  <si>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</si>
  <si>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</si>
  <si>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</si>
  <si>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</si>
  <si>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</si>
  <si>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</si>
  <si>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</si>
  <si>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</si>
  <si>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</si>
  <si>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</si>
  <si>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</si>
  <si>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</si>
  <si>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</si>
  <si>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</si>
  <si>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</si>
  <si>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</si>
  <si>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</si>
  <si>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</si>
  <si>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</si>
  <si>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</si>
  <si>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</si>
  <si>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</si>
  <si>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</si>
  <si>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</si>
  <si>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</si>
  <si>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</si>
  <si>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</si>
  <si>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</si>
  <si>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</si>
  <si>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</si>
  <si>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</si>
  <si>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</si>
  <si>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</si>
  <si>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</si>
  <si>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</si>
  <si>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</si>
  <si>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</si>
  <si>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</si>
  <si>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</si>
  <si>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</si>
  <si>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</si>
  <si>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</si>
  <si>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</si>
  <si>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</si>
  <si>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</si>
  <si>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</si>
  <si>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</si>
  <si>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</si>
  <si>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</si>
  <si>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</si>
  <si>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</si>
  <si>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</si>
  <si>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</si>
  <si>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</si>
  <si>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</si>
  <si>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</si>
  <si>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</si>
  <si>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</si>
  <si>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</si>
  <si>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</si>
  <si>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</si>
  <si>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</si>
  <si>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</si>
  <si>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</si>
  <si>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</si>
  <si>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</si>
  <si>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</si>
  <si>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</si>
  <si>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</si>
  <si>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</si>
  <si>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</si>
  <si>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</si>
  <si>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</si>
  <si>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</si>
  <si>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</si>
  <si>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</si>
  <si>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</si>
  <si>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</si>
  <si>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</si>
  <si>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</si>
  <si>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</si>
  <si>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</si>
  <si>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</si>
  <si>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</si>
  <si>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</si>
  <si>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</si>
  <si>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</si>
  <si>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</si>
  <si>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</si>
  <si>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</si>
  <si>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</si>
  <si>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</si>
  <si>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</si>
  <si>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</si>
  <si>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</si>
  <si>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</si>
  <si>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</si>
  <si>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</si>
  <si>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</si>
  <si>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</si>
  <si>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</si>
  <si>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</si>
  <si>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</si>
  <si>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</si>
  <si>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</si>
  <si>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</si>
  <si>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</si>
  <si>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</si>
  <si>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</si>
  <si>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</si>
  <si>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</si>
  <si>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</si>
  <si>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</si>
  <si>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</si>
  <si>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</si>
  <si>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</si>
  <si>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</si>
  <si>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</si>
  <si>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</si>
  <si>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</si>
  <si>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</si>
  <si>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</si>
  <si>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</si>
  <si>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</si>
  <si>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</si>
  <si>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</si>
  <si>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</si>
  <si>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</si>
  <si>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</si>
  <si>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</si>
  <si>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</si>
  <si>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</si>
  <si>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</si>
  <si>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</si>
  <si>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</si>
  <si>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</si>
  <si>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</si>
  <si>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</si>
  <si>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</si>
  <si>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</si>
  <si>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</si>
  <si>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</si>
  <si>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</si>
  <si>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</si>
  <si>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</si>
  <si>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</si>
  <si>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</si>
  <si>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</si>
  <si>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</si>
  <si>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</si>
  <si>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</si>
  <si>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</si>
  <si>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</si>
  <si>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</si>
  <si>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</si>
  <si>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</si>
  <si>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</si>
  <si>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</si>
  <si>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</si>
  <si>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</si>
  <si>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</si>
  <si>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</si>
  <si>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</si>
  <si>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</si>
  <si>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</si>
  <si>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</si>
  <si>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</si>
  <si>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</si>
  <si>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</si>
  <si>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</si>
  <si>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</si>
  <si>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</si>
  <si>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</si>
  <si>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</si>
  <si>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</si>
  <si>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</si>
  <si>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</si>
  <si>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</si>
  <si>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</si>
  <si>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</si>
  <si>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</si>
  <si>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</si>
  <si>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</si>
  <si>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</si>
  <si>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</si>
  <si>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</si>
  <si>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</si>
  <si>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</si>
  <si>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</si>
  <si>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</si>
  <si>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</si>
  <si>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</si>
  <si>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</si>
  <si>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</si>
  <si>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</si>
  <si>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</si>
  <si>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</si>
  <si>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</si>
  <si>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</si>
  <si>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</si>
  <si>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</si>
  <si>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</si>
  <si>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</si>
  <si>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</si>
  <si>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</si>
  <si>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</si>
  <si>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</si>
  <si>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</si>
  <si>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</si>
  <si>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</si>
  <si>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</si>
  <si>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</si>
  <si>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</si>
  <si>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</si>
  <si>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</si>
  <si>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</si>
  <si>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</si>
  <si>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</si>
  <si>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</si>
  <si>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</si>
  <si>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</si>
  <si>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</si>
  <si>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</si>
  <si>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</si>
  <si>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</si>
  <si>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</si>
  <si>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</si>
  <si>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</si>
  <si>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</si>
  <si>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</si>
  <si>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</si>
  <si>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</si>
  <si>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</si>
  <si>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</si>
  <si>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</si>
  <si>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</si>
  <si>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</si>
  <si>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</si>
  <si>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</si>
  <si>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</si>
  <si>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</si>
  <si>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</si>
  <si>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</si>
  <si>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</si>
  <si>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</si>
  <si>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</si>
  <si>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</si>
  <si>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</si>
  <si>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</si>
  <si>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</si>
  <si>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</si>
  <si>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</si>
  <si>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</si>
  <si>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</si>
  <si>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</si>
  <si>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</si>
  <si>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</si>
  <si>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</si>
  <si>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</si>
  <si>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</si>
  <si>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</si>
  <si>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</si>
  <si>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</si>
  <si>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</si>
  <si>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</si>
  <si>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</si>
  <si>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</si>
  <si>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</si>
  <si>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</si>
  <si>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</si>
  <si>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</si>
  <si>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</si>
  <si>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</si>
  <si>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</si>
  <si>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</si>
  <si>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</si>
  <si>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</si>
  <si>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</si>
  <si>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</si>
  <si>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</si>
  <si>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</si>
  <si>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</si>
  <si>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</si>
  <si>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</si>
  <si>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</si>
  <si>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</si>
  <si>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</si>
  <si>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</si>
  <si>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</si>
  <si>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</si>
  <si>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</si>
  <si>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</si>
  <si>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</si>
  <si>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</si>
  <si>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</si>
  <si>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</si>
  <si>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</si>
  <si>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</si>
  <si>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</si>
  <si>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</si>
  <si>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</si>
  <si>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</si>
  <si>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</si>
  <si>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</si>
  <si>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</si>
  <si>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</si>
  <si>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</si>
  <si>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</si>
  <si>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</si>
  <si>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</si>
  <si>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</si>
  <si>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</si>
  <si>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</si>
  <si>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</si>
  <si>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</si>
  <si>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</si>
  <si>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</si>
  <si>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</si>
  <si>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</si>
  <si>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</si>
  <si>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</si>
  <si>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</si>
  <si>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</si>
  <si>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</si>
  <si>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</si>
  <si>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</si>
  <si>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</si>
  <si>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</si>
  <si>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</si>
  <si>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</si>
  <si>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</si>
  <si>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</si>
  <si>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</si>
  <si>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</si>
  <si>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</si>
  <si>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</si>
  <si>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</si>
  <si>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</si>
  <si>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</si>
  <si>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</si>
  <si>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</si>
  <si>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</si>
  <si>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</si>
  <si>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</si>
  <si>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</si>
  <si>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</si>
  <si>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</si>
  <si>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</si>
  <si>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</si>
  <si>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</si>
  <si>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</si>
  <si>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</si>
  <si>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</si>
  <si>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</si>
  <si>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</si>
  <si>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</si>
  <si>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</si>
  <si>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</si>
  <si>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</si>
  <si>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</si>
  <si>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</si>
  <si>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</si>
  <si>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</si>
  <si>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</si>
  <si>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</si>
  <si>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</si>
  <si>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</si>
  <si>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</si>
  <si>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</si>
  <si>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</si>
  <si>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</si>
  <si>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</si>
  <si>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</si>
  <si>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</si>
  <si>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</si>
  <si>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</si>
  <si>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</si>
  <si>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</si>
  <si>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</si>
  <si>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</si>
  <si>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</si>
  <si>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</si>
  <si>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</si>
  <si>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</si>
  <si>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</si>
  <si>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</si>
  <si>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</si>
  <si>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</si>
  <si>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</si>
  <si>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</si>
  <si>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</si>
  <si>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</si>
  <si>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</si>
  <si>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</si>
  <si>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</si>
  <si>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</si>
  <si>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</si>
  <si>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</si>
  <si>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</si>
  <si>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</si>
  <si>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</si>
  <si>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</si>
  <si>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</si>
  <si>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</si>
  <si>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</si>
  <si>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</si>
  <si>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</si>
  <si>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</si>
  <si>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</si>
  <si>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</si>
  <si>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</si>
  <si>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</si>
  <si>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</si>
  <si>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</si>
  <si>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</si>
  <si>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</si>
  <si>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</si>
  <si>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</si>
  <si>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</si>
  <si>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</si>
  <si>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</si>
  <si>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</si>
  <si>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</si>
  <si>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</si>
  <si>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</si>
  <si>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</si>
  <si>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</si>
  <si>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</si>
  <si>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</si>
  <si>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</si>
  <si>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</si>
  <si>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</si>
  <si>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</si>
  <si>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</si>
  <si>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</si>
  <si>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</si>
  <si>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</si>
  <si>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</si>
  <si>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</si>
  <si>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</si>
  <si>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</si>
  <si>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</si>
  <si>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</si>
  <si>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</si>
  <si>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</si>
  <si>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</si>
  <si>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</si>
  <si>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</si>
  <si>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</si>
  <si>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</si>
  <si>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</si>
  <si>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</si>
  <si>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</si>
  <si>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</si>
  <si>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</si>
  <si>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</si>
  <si>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</si>
  <si>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</si>
  <si>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</si>
  <si>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</si>
  <si>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</si>
  <si>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</si>
  <si>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</si>
  <si>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</si>
  <si>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</si>
  <si>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</si>
  <si>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</si>
  <si>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</si>
  <si>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</si>
  <si>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</si>
  <si>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</si>
  <si>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</si>
  <si>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</si>
  <si>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</si>
  <si>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</si>
  <si>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</si>
  <si>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</si>
  <si>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</si>
  <si>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</si>
  <si>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</si>
  <si>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</si>
  <si>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</si>
  <si>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</si>
  <si>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</si>
  <si>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</si>
  <si>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</si>
  <si>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</si>
  <si>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</si>
  <si>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</si>
  <si>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</si>
  <si>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</si>
  <si>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</si>
  <si>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</si>
  <si>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</si>
  <si>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</si>
  <si>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</si>
  <si>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</si>
  <si>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</si>
  <si>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</si>
  <si>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</si>
  <si>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</si>
  <si>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</si>
  <si>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</si>
  <si>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</si>
  <si>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</si>
  <si>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</si>
  <si>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</si>
  <si>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</si>
  <si>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</si>
  <si>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</si>
  <si>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</si>
  <si>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</si>
  <si>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</si>
  <si>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</si>
  <si>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</si>
  <si>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</si>
  <si>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</si>
  <si>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</si>
  <si>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</si>
  <si>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</si>
  <si>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</si>
  <si>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</si>
  <si>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</si>
  <si>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</si>
  <si>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</si>
  <si>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</si>
  <si>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</si>
  <si>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</si>
  <si>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</si>
  <si>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</si>
  <si>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</si>
  <si>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</si>
  <si>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</si>
  <si>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</si>
  <si>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</si>
  <si>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</si>
  <si>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</si>
  <si>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</si>
  <si>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</si>
  <si>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</si>
  <si>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</si>
  <si>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</si>
  <si>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</si>
  <si>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</si>
  <si>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</si>
  <si>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</si>
  <si>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</si>
  <si>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</si>
  <si>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</si>
  <si>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</si>
  <si>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</si>
  <si>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</si>
  <si>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</si>
  <si>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</si>
  <si>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</si>
  <si>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</si>
  <si>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</si>
  <si>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</si>
  <si>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</si>
  <si>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</si>
  <si>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</si>
  <si>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</si>
  <si>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</si>
  <si>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</si>
  <si>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</si>
  <si>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</si>
  <si>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</si>
  <si>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</si>
  <si>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</si>
  <si>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</si>
  <si>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</si>
  <si>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</si>
  <si>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</si>
  <si>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</si>
  <si>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</si>
  <si>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</si>
  <si>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</si>
  <si>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</si>
  <si>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</si>
  <si>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</si>
  <si>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</si>
  <si>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</si>
  <si>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</si>
  <si>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</si>
  <si>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</si>
  <si>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</si>
  <si>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</si>
  <si>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</si>
  <si>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</si>
  <si>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</si>
  <si>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</si>
  <si>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</si>
  <si>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</si>
  <si>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</si>
  <si>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</si>
  <si>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</si>
  <si>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</si>
  <si>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</si>
  <si>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</si>
  <si>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</si>
  <si>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</si>
  <si>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</si>
  <si>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</si>
  <si>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</si>
  <si>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</si>
  <si>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</si>
  <si>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</si>
  <si>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</si>
  <si>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</si>
  <si>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</si>
  <si>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</si>
  <si>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</si>
  <si>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</si>
  <si>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</si>
  <si>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</si>
  <si>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</si>
  <si>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</si>
  <si>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</si>
  <si>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</si>
  <si>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</si>
  <si>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</si>
  <si>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</si>
  <si>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</si>
  <si>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</si>
  <si>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</si>
  <si>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</si>
  <si>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</si>
  <si>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</si>
  <si>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</si>
  <si>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</si>
  <si>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</si>
  <si>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</si>
  <si>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</si>
  <si>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</si>
  <si>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</si>
  <si>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</si>
  <si>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</si>
  <si>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</si>
  <si>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</si>
  <si>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</si>
  <si>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</si>
  <si>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</si>
  <si>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</si>
  <si>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</si>
  <si>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</si>
  <si>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</si>
  <si>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</si>
  <si>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</si>
  <si>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</si>
  <si>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</si>
  <si>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</si>
  <si>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</si>
  <si>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</si>
  <si>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</si>
  <si>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</si>
  <si>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</si>
  <si>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</si>
  <si>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</si>
  <si>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</si>
  <si>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</si>
  <si>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</si>
  <si>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</si>
  <si>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</si>
  <si>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</si>
  <si>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</si>
  <si>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</si>
  <si>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</si>
  <si>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</si>
  <si>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</si>
  <si>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</si>
  <si>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</si>
  <si>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</si>
  <si>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</si>
  <si>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</si>
  <si>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</si>
  <si>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</si>
  <si>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</si>
  <si>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</si>
  <si>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</si>
  <si>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</si>
  <si>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</si>
  <si>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</si>
  <si>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</si>
  <si>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</si>
  <si>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</si>
  <si>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</si>
  <si>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</si>
  <si>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</si>
  <si>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</si>
  <si>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</si>
  <si>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</si>
  <si>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</si>
  <si>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</si>
  <si>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</si>
  <si>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</si>
  <si>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</si>
  <si>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</si>
  <si>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</si>
  <si>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</si>
  <si>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</si>
  <si>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</si>
  <si>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</si>
  <si>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</si>
  <si>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</si>
  <si>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</si>
  <si>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</si>
  <si>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</si>
  <si>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</si>
  <si>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</si>
  <si>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</si>
  <si>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</si>
  <si>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</si>
  <si>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</si>
  <si>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</si>
  <si>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</si>
  <si>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</si>
  <si>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</si>
  <si>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</si>
  <si>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</si>
  <si>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</si>
  <si>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</si>
  <si>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</si>
  <si>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</si>
  <si>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</si>
  <si>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</si>
  <si>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</si>
  <si>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</si>
  <si>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</si>
  <si>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</si>
  <si>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</si>
  <si>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</si>
  <si>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</si>
  <si>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</si>
  <si>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</si>
  <si>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</si>
  <si>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</si>
  <si>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</si>
  <si>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</si>
  <si>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</si>
  <si>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</si>
  <si>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</si>
  <si>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</si>
  <si>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</si>
  <si>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</si>
  <si>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</si>
  <si>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</si>
  <si>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</si>
  <si>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</si>
  <si>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</si>
  <si>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</si>
  <si>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</si>
  <si>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</si>
  <si>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</si>
  <si>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</si>
  <si>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</si>
  <si>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</si>
  <si>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</si>
  <si>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</si>
  <si>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</si>
  <si>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</si>
  <si>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</si>
  <si>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</si>
  <si>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</si>
  <si>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</si>
  <si>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</si>
  <si>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</si>
  <si>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</si>
  <si>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</si>
  <si>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</si>
  <si>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</si>
  <si>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</si>
  <si>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</si>
  <si>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</si>
  <si>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</si>
  <si>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</si>
  <si>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</si>
  <si>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</si>
  <si>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</si>
  <si>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</si>
  <si>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</si>
  <si>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</si>
  <si>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</si>
  <si>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</si>
  <si>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</si>
  <si>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</si>
  <si>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</si>
  <si>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</si>
  <si>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</si>
  <si>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</si>
  <si>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</si>
  <si>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</si>
  <si>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</si>
  <si>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</si>
  <si>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</si>
  <si>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</si>
  <si>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</si>
  <si>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</si>
  <si>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</si>
  <si>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</si>
  <si>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</si>
  <si>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</si>
  <si>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</si>
  <si>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</si>
  <si>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</si>
  <si>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</si>
  <si>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</si>
  <si>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</si>
  <si>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</si>
  <si>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</si>
  <si>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</si>
  <si>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</si>
  <si>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</si>
  <si>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</si>
  <si>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</si>
  <si>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</si>
  <si>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</si>
  <si>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</si>
  <si>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</si>
  <si>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</si>
  <si>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</si>
  <si>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</si>
  <si>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</si>
  <si>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</si>
  <si>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</si>
  <si>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</si>
  <si>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</si>
  <si>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</si>
  <si>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</si>
  <si>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</si>
  <si>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</si>
  <si>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</si>
  <si>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</si>
  <si>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</si>
  <si>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</si>
  <si>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</si>
  <si>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</si>
  <si>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</si>
  <si>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</si>
  <si>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</si>
  <si>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</si>
  <si>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</si>
  <si>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</si>
  <si>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</si>
  <si>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</si>
  <si>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</si>
  <si>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</si>
  <si>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</si>
  <si>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</si>
  <si>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</si>
  <si>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</si>
  <si>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</si>
  <si>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</si>
  <si>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</si>
  <si>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</si>
  <si>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</si>
  <si>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</si>
  <si>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</si>
  <si>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</si>
  <si>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</si>
  <si>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</si>
  <si>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</si>
  <si>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</si>
  <si>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</si>
  <si>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</si>
  <si>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</si>
  <si>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</si>
  <si>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</si>
  <si>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</si>
  <si>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</si>
  <si>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</si>
  <si>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</si>
  <si>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</si>
  <si>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</si>
  <si>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</si>
  <si>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</si>
  <si>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</si>
  <si>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</si>
  <si>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</si>
  <si>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</si>
  <si>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</si>
  <si>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</si>
  <si>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</si>
  <si>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</si>
  <si>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</si>
  <si>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</si>
  <si>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</si>
  <si>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</si>
  <si>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</si>
  <si>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</si>
  <si>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</si>
  <si>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</si>
  <si>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</si>
  <si>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</si>
  <si>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</si>
  <si>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</si>
  <si>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</si>
  <si>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</si>
  <si>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</si>
  <si>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</si>
  <si>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</si>
  <si>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</si>
  <si>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</si>
  <si>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</si>
  <si>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</si>
  <si>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</si>
  <si>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</si>
  <si>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</si>
  <si>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</si>
  <si>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</si>
  <si>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</si>
  <si>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</si>
  <si>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</si>
  <si>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</si>
  <si>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</si>
  <si>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</si>
  <si>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</si>
  <si>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</si>
  <si>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</si>
  <si>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</si>
  <si>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</si>
  <si>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</si>
  <si>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</si>
  <si>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</si>
  <si>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</si>
  <si>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</si>
  <si>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</si>
  <si>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</si>
  <si>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</si>
  <si>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</si>
  <si>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</si>
  <si>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</si>
  <si>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</si>
  <si>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</si>
  <si>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</si>
  <si>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</si>
  <si>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</si>
  <si>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</si>
  <si>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</si>
  <si>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</si>
  <si>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</si>
  <si>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</si>
  <si>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</si>
  <si>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</si>
  <si>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</si>
  <si>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</si>
  <si>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</si>
  <si>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</si>
  <si>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</si>
  <si>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</si>
  <si>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</si>
  <si>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</si>
  <si>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</si>
  <si>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</si>
  <si>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</si>
  <si>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</si>
  <si>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</si>
  <si>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</si>
  <si>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</si>
  <si>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</si>
  <si>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</si>
  <si>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</si>
  <si>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</si>
  <si>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</si>
  <si>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</si>
  <si>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</si>
  <si>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</si>
  <si>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</si>
  <si>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</si>
  <si>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</si>
  <si>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</si>
  <si>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</si>
  <si>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</si>
  <si>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</si>
  <si>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</si>
  <si>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</si>
  <si>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</si>
  <si>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</si>
  <si>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</si>
  <si>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</si>
  <si>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</si>
  <si>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</si>
  <si>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</si>
  <si>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</si>
  <si>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</si>
  <si>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</si>
  <si>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</si>
  <si>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</si>
  <si>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</si>
  <si>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</si>
  <si>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</si>
  <si>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</si>
  <si>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</si>
  <si>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</si>
  <si>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</si>
  <si>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</si>
  <si>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</si>
  <si>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</si>
  <si>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</si>
  <si>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</si>
  <si>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</si>
  <si>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</si>
  <si>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</si>
  <si>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</si>
  <si>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</si>
  <si>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</si>
  <si>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</si>
  <si>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</si>
  <si>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</si>
  <si>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</si>
  <si>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</si>
  <si>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</si>
  <si>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</si>
  <si>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</si>
  <si>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</si>
  <si>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</si>
  <si>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</si>
  <si>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</si>
  <si>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</si>
  <si>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</si>
  <si>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</si>
  <si>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</si>
  <si>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</si>
  <si>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</si>
  <si>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</si>
  <si>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</si>
  <si>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</si>
  <si>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</si>
  <si>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</si>
  <si>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</si>
  <si>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</si>
  <si>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</si>
  <si>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</si>
  <si>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</si>
  <si>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</si>
  <si>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</si>
  <si>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</si>
  <si>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</si>
  <si>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</si>
  <si>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</si>
  <si>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</si>
  <si>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</si>
  <si>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</si>
  <si>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</si>
  <si>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</si>
  <si>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</si>
  <si>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</si>
  <si>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</si>
  <si>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</si>
  <si>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</si>
  <si>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</si>
  <si>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</si>
  <si>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</si>
  <si>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</si>
  <si>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</si>
  <si>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</si>
  <si>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</si>
  <si>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</si>
  <si>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</si>
  <si>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</si>
  <si>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</si>
  <si>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</si>
  <si>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</si>
  <si>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</si>
  <si>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</si>
  <si>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</si>
  <si>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</si>
  <si>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</si>
  <si>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</si>
  <si>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</si>
  <si>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</si>
  <si>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</si>
  <si>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</si>
  <si>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</si>
  <si>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</si>
  <si>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</si>
  <si>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</si>
  <si>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</si>
  <si>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</si>
  <si>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</si>
  <si>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</si>
  <si>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</si>
  <si>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</si>
  <si>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</si>
  <si>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</si>
  <si>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</si>
  <si>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</si>
  <si>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</si>
  <si>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</si>
  <si>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</si>
  <si>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</si>
  <si>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</si>
  <si>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</si>
  <si>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</si>
  <si>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</si>
  <si>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</si>
  <si>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</si>
  <si>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</si>
  <si>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</si>
  <si>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</si>
  <si>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</si>
  <si>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</si>
  <si>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</si>
  <si>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</si>
  <si>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</si>
  <si>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</si>
  <si>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</si>
  <si>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</si>
  <si>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</si>
  <si>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</si>
  <si>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</si>
  <si>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</si>
  <si>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</si>
  <si>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</si>
  <si>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</si>
  <si>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</si>
  <si>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</si>
  <si>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</si>
  <si>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</si>
  <si>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</si>
  <si>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</si>
  <si>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</si>
  <si>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</si>
  <si>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</si>
  <si>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</si>
  <si>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</si>
  <si>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</si>
  <si>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</si>
  <si>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</si>
  <si>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</si>
  <si>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</si>
  <si>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</si>
  <si>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</si>
  <si>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</si>
  <si>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</si>
  <si>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</si>
  <si>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</si>
  <si>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</si>
  <si>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</si>
  <si>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</si>
  <si>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</si>
  <si>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</si>
  <si>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</si>
  <si>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</si>
  <si>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</si>
  <si>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</si>
  <si>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</si>
  <si>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</si>
  <si>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</si>
  <si>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</si>
  <si>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</si>
  <si>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</si>
  <si>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</si>
  <si>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</si>
  <si>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</si>
  <si>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</si>
  <si>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</si>
  <si>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</si>
  <si>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</si>
  <si>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</si>
  <si>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</si>
  <si>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</si>
  <si>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</si>
  <si>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</si>
  <si>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</si>
  <si>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</si>
  <si>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</si>
  <si>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</si>
  <si>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</si>
  <si>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</si>
  <si>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</si>
  <si>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</si>
  <si>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</si>
  <si>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</si>
  <si>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</si>
  <si>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</si>
  <si>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</si>
  <si>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</si>
  <si>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</si>
  <si>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</si>
  <si>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</si>
  <si>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</si>
  <si>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</si>
  <si>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</si>
  <si>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</si>
  <si>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</si>
  <si>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</si>
  <si>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</si>
  <si>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</si>
  <si>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</si>
  <si>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</si>
  <si>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</si>
  <si>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</si>
  <si>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</si>
  <si>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</si>
  <si>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</si>
  <si>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</si>
  <si>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</si>
  <si>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</si>
  <si>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</si>
  <si>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</si>
  <si>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</si>
  <si>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</si>
  <si>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</si>
  <si>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</si>
  <si>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</si>
  <si>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</si>
  <si>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</si>
  <si>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</si>
  <si>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</si>
  <si>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</si>
  <si>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</si>
  <si>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</si>
  <si>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</si>
  <si>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</si>
  <si>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</si>
  <si>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</si>
  <si>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</si>
  <si>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</si>
  <si>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</si>
  <si>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</si>
  <si>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</si>
  <si>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</si>
  <si>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</si>
  <si>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</si>
  <si>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</si>
  <si>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</si>
  <si>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</si>
  <si>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</si>
  <si>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</si>
  <si>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</si>
  <si>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</si>
  <si>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</si>
  <si>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</si>
  <si>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</si>
  <si>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</si>
  <si>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</si>
  <si>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</si>
  <si>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</si>
  <si>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</si>
  <si>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</si>
  <si>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</si>
  <si>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</si>
  <si>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</si>
  <si>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</si>
  <si>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</si>
  <si>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</si>
  <si>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</si>
  <si>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</si>
  <si>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</si>
  <si>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</si>
  <si>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</si>
  <si>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</si>
  <si>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</si>
  <si>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</si>
  <si>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</si>
  <si>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</si>
  <si>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</si>
  <si>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</si>
  <si>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</si>
  <si>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</si>
  <si>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</si>
  <si>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</si>
  <si>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</si>
  <si>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</si>
  <si>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</si>
  <si>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</si>
  <si>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</si>
  <si>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</si>
  <si>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</si>
  <si>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</si>
  <si>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</si>
  <si>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</si>
  <si>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</si>
  <si>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</si>
  <si>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</si>
  <si>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</si>
  <si>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</si>
  <si>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</si>
  <si>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</si>
  <si>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</si>
  <si>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</si>
  <si>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</si>
  <si>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</si>
  <si>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</si>
  <si>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</si>
  <si>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</si>
  <si>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</si>
  <si>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</si>
  <si>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</si>
  <si>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</si>
  <si>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</si>
  <si>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</si>
  <si>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</si>
  <si>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</si>
  <si>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</si>
  <si>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</si>
  <si>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</si>
  <si>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</si>
  <si>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</si>
  <si>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</si>
  <si>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</si>
  <si>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</si>
  <si>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</si>
  <si>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</si>
  <si>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</si>
  <si>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</si>
  <si>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</si>
  <si>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</si>
  <si>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</si>
  <si>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</si>
  <si>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</si>
  <si>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</si>
  <si>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</si>
  <si>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</si>
  <si>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</si>
  <si>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</si>
  <si>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</si>
  <si>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</si>
  <si>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</si>
  <si>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</si>
  <si>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</si>
  <si>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</si>
  <si>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</si>
  <si>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</si>
  <si>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</si>
  <si>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</si>
  <si>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</si>
  <si>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</si>
  <si>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</si>
  <si>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</si>
  <si>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</si>
  <si>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</si>
  <si>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</si>
  <si>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</si>
  <si>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</si>
  <si>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</si>
  <si>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</si>
  <si>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</si>
  <si>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</si>
  <si>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</si>
  <si>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</si>
  <si>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</si>
  <si>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</si>
  <si>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</si>
  <si>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</si>
  <si>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</si>
  <si>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</si>
  <si>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</si>
  <si>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</si>
  <si>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</si>
  <si>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</si>
  <si>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</si>
  <si>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</si>
  <si>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</si>
  <si>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</si>
  <si>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</si>
  <si>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</si>
  <si>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</si>
  <si>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</si>
  <si>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</si>
  <si>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</si>
  <si>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</si>
  <si>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</si>
  <si>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</si>
  <si>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</si>
  <si>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</si>
  <si>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</si>
  <si>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</si>
  <si>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</si>
  <si>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</si>
  <si>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</si>
  <si>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</si>
  <si>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</si>
  <si>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</si>
  <si>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</si>
  <si>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</si>
  <si>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</si>
  <si>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</si>
  <si>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</si>
  <si>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</si>
  <si>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</si>
  <si>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</si>
  <si>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</si>
  <si>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</si>
  <si>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</si>
  <si>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</si>
  <si>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</si>
  <si>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</si>
  <si>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</si>
  <si>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</si>
  <si>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</si>
  <si>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</si>
  <si>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</si>
  <si>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</si>
  <si>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</si>
  <si>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</si>
  <si>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</si>
  <si>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</si>
  <si>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</si>
  <si>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</si>
  <si>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</si>
  <si>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</si>
  <si>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</si>
  <si>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</si>
  <si>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</si>
  <si>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</si>
  <si>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</si>
  <si>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</si>
  <si>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</si>
  <si>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</si>
  <si>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</si>
  <si>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</si>
  <si>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</si>
  <si>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</si>
  <si>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</si>
  <si>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</si>
  <si>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</si>
  <si>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</si>
  <si>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</si>
  <si>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</si>
  <si>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</si>
  <si>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</si>
  <si>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</si>
  <si>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</si>
  <si>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</si>
  <si>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</si>
  <si>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</si>
  <si>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</si>
  <si>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</si>
  <si>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</si>
  <si>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</si>
  <si>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</si>
  <si>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</si>
  <si>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</si>
  <si>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</si>
  <si>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</si>
  <si>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</si>
  <si>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</si>
  <si>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</si>
  <si>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</si>
  <si>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</si>
  <si>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</si>
  <si>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</si>
  <si>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</si>
  <si>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</si>
  <si>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</si>
  <si>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</si>
  <si>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</si>
  <si>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</si>
  <si>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</si>
  <si>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</si>
  <si>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</si>
  <si>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</si>
  <si>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</si>
  <si>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</si>
  <si>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</si>
  <si>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</si>
  <si>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</si>
  <si>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</si>
  <si>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</si>
  <si>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</si>
  <si>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</si>
  <si>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</si>
  <si>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</si>
  <si>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</si>
  <si>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</si>
  <si>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</si>
  <si>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</si>
  <si>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</si>
  <si>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</si>
  <si>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</si>
  <si>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</si>
  <si>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</si>
  <si>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</si>
  <si>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</si>
  <si>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</si>
  <si>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</si>
  <si>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</si>
  <si>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</si>
  <si>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</si>
  <si>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</si>
  <si>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</si>
  <si>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</si>
  <si>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</si>
  <si>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</si>
  <si>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</si>
  <si>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</si>
  <si>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</si>
  <si>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</si>
  <si>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</si>
  <si>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</si>
  <si>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</si>
  <si>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</si>
  <si>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</si>
  <si>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</si>
  <si>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</si>
  <si>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</si>
  <si>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</si>
  <si>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</si>
  <si>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</si>
  <si>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</si>
  <si>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</si>
  <si>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</si>
  <si>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</si>
  <si>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</si>
  <si>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</si>
  <si>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</si>
  <si>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</si>
  <si>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</si>
  <si>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</si>
  <si>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</si>
  <si>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</si>
  <si>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</si>
  <si>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</si>
  <si>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</si>
  <si>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</si>
  <si>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</si>
  <si>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</si>
  <si>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</si>
  <si>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</si>
  <si>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</si>
  <si>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</si>
  <si>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</si>
  <si>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</si>
  <si>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</si>
  <si>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</si>
  <si>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</si>
  <si>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</si>
  <si>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</si>
  <si>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</si>
  <si>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</si>
  <si>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</si>
  <si>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</si>
  <si>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</si>
  <si>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</si>
  <si>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</si>
  <si>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</si>
  <si>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</si>
  <si>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</si>
  <si>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</si>
  <si>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</si>
  <si>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</si>
  <si>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</si>
  <si>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</si>
  <si>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</si>
  <si>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</si>
  <si>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</si>
  <si>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</si>
  <si>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</si>
  <si>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</si>
  <si>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</si>
  <si>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</si>
  <si>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</si>
  <si>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</si>
  <si>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</si>
  <si>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</si>
  <si>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</si>
  <si>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</si>
  <si>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</si>
  <si>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</si>
  <si>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</si>
  <si>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</si>
  <si>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</si>
  <si>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</si>
  <si>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</si>
  <si>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</si>
  <si>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</si>
  <si>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</si>
  <si>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</si>
  <si>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</si>
  <si>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</si>
  <si>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</si>
  <si>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</si>
  <si>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</si>
  <si>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</si>
  <si>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</si>
  <si>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</si>
  <si>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</si>
  <si>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</si>
  <si>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</si>
  <si>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</si>
  <si>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</si>
  <si>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</si>
  <si>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</si>
  <si>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</si>
  <si>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</si>
  <si>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</si>
  <si>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</si>
  <si>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</si>
  <si>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</si>
  <si>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</si>
  <si>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</si>
  <si>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</si>
  <si>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</si>
  <si>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</si>
  <si>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</si>
  <si>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</si>
  <si>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</si>
  <si>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</si>
  <si>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</si>
  <si>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</si>
  <si>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</si>
  <si>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</si>
  <si>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</si>
  <si>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</si>
  <si>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</si>
  <si>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</si>
  <si>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</si>
  <si>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</si>
  <si>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</si>
  <si>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</si>
  <si>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</si>
  <si>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</si>
  <si>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</si>
  <si>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</si>
  <si>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</si>
  <si>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</si>
  <si>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</si>
  <si>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</si>
  <si>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</si>
  <si>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</si>
  <si>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</si>
  <si>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</si>
  <si>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</si>
  <si>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</si>
  <si>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</si>
  <si>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</si>
  <si>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</si>
  <si>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</si>
  <si>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</si>
  <si>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</si>
  <si>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</si>
  <si>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</si>
  <si>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</si>
  <si>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</si>
  <si>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</si>
  <si>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</si>
  <si>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</si>
  <si>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</si>
  <si>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</si>
  <si>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</si>
  <si>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</si>
  <si>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</si>
  <si>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</si>
  <si>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</si>
  <si>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</si>
  <si>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</si>
  <si>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</si>
  <si>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</si>
  <si>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</si>
  <si>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</si>
  <si>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</si>
  <si>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</si>
  <si>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</si>
  <si>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</si>
  <si>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</si>
  <si>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</si>
  <si>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</si>
  <si>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</si>
  <si>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</si>
  <si>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</si>
  <si>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</si>
  <si>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</si>
  <si>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</si>
  <si>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</si>
  <si>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</si>
  <si>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</si>
  <si>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</si>
  <si>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</si>
  <si>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</si>
  <si>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</si>
  <si>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</si>
  <si>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</si>
  <si>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</si>
  <si>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</si>
  <si>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</si>
  <si>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</si>
  <si>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</si>
  <si>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</si>
  <si>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</si>
  <si>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</si>
  <si>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</si>
  <si>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</si>
  <si>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</si>
  <si>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</si>
  <si>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</si>
  <si>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</si>
  <si>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</si>
  <si>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</si>
  <si>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</si>
  <si>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</si>
  <si>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</si>
  <si>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</si>
  <si>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</si>
  <si>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</si>
  <si>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</si>
  <si>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</si>
  <si>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</si>
  <si>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</si>
  <si>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</si>
  <si>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</si>
  <si>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</si>
  <si>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</si>
  <si>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</si>
  <si>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</si>
  <si>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</si>
  <si>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</si>
  <si>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</si>
  <si>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</si>
  <si>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</si>
  <si>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</si>
  <si>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</si>
  <si>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</si>
  <si>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</si>
  <si>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</si>
  <si>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</si>
  <si>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</si>
  <si>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</si>
  <si>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</si>
  <si>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</si>
  <si>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</si>
  <si>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</si>
  <si>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</si>
  <si>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</si>
  <si>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</si>
  <si>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</si>
  <si>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</si>
  <si>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</si>
  <si>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</si>
  <si>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</si>
  <si>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</si>
  <si>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</si>
  <si>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</si>
  <si>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</si>
  <si>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</si>
  <si>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</si>
  <si>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</si>
  <si>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</si>
  <si>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</si>
  <si>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</si>
  <si>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</si>
  <si>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</si>
  <si>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</si>
  <si>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</si>
  <si>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</si>
  <si>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</si>
  <si>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</si>
  <si>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</si>
  <si>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</si>
  <si>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</si>
  <si>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</si>
  <si>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</si>
  <si>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</si>
  <si>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</si>
  <si>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</si>
  <si>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</si>
  <si>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</si>
  <si>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</si>
  <si>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</si>
  <si>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</si>
  <si>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</si>
  <si>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</si>
  <si>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</si>
  <si>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</si>
  <si>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</si>
  <si>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</si>
  <si>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</si>
  <si>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</si>
  <si>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</si>
  <si>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</si>
  <si>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</si>
  <si>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</si>
  <si>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</si>
  <si>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</si>
  <si>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</si>
  <si>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</si>
  <si>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</si>
  <si>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</si>
  <si>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</si>
  <si>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</si>
  <si>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</si>
  <si>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</si>
  <si>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</si>
  <si>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</si>
  <si>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</si>
  <si>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</si>
  <si>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</si>
  <si>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</si>
  <si>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</si>
  <si>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</si>
  <si>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</si>
  <si>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</si>
  <si>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</si>
  <si>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</si>
  <si>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</si>
  <si>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</si>
  <si>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</si>
  <si>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</si>
  <si>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</si>
  <si>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</si>
  <si>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</si>
  <si>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</si>
  <si>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</si>
  <si>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</si>
  <si>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</si>
  <si>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</si>
  <si>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</si>
  <si>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</si>
  <si>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</si>
  <si>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</si>
  <si>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</si>
  <si>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</si>
  <si>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</si>
  <si>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</si>
  <si>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</si>
  <si>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</si>
  <si>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</si>
  <si>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</si>
  <si>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</si>
  <si>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</si>
  <si>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</si>
  <si>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</si>
  <si>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</si>
  <si>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</si>
  <si>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</si>
  <si>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</si>
  <si>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</si>
  <si>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</si>
  <si>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</si>
  <si>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</si>
  <si>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</si>
  <si>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</si>
  <si>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</si>
  <si>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</si>
  <si>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</si>
  <si>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</si>
  <si>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</si>
  <si>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</si>
  <si>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</si>
  <si>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</si>
  <si>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</si>
  <si>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</si>
  <si>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</si>
  <si>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</si>
  <si>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</si>
  <si>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</si>
  <si>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</si>
  <si>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</si>
  <si>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</si>
  <si>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</si>
  <si>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</si>
  <si>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</si>
  <si>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</si>
  <si>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</si>
  <si>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</si>
  <si>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</si>
  <si>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</si>
  <si>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</si>
  <si>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</si>
  <si>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</si>
  <si>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</si>
  <si>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</si>
  <si>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</si>
  <si>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</si>
  <si>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</si>
  <si>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</si>
  <si>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</si>
  <si>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</si>
  <si>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</si>
  <si>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</si>
  <si>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</si>
  <si>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</si>
  <si>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</si>
  <si>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</si>
  <si>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</si>
  <si>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</si>
  <si>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</si>
  <si>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</si>
  <si>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</si>
  <si>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</si>
  <si>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</si>
  <si>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</si>
  <si>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</si>
  <si>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</si>
  <si>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</si>
  <si>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</si>
  <si>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</si>
  <si>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</si>
  <si>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</si>
  <si>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</si>
  <si>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</si>
  <si>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</si>
  <si>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</si>
  <si>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</si>
  <si>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</si>
  <si>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</si>
  <si>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</si>
  <si>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</si>
  <si>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</si>
  <si>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</si>
  <si>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</si>
  <si>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</si>
  <si>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</si>
  <si>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</si>
  <si>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</si>
  <si>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</si>
  <si>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</si>
  <si>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</si>
  <si>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</si>
  <si>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</si>
  <si>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</si>
  <si>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</si>
  <si>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</si>
  <si>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</si>
  <si>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</si>
  <si>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</si>
  <si>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</si>
  <si>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</si>
  <si>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</si>
  <si>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</si>
  <si>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</si>
  <si>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</si>
  <si>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</si>
  <si>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</si>
  <si>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</si>
  <si>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</si>
  <si>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</si>
  <si>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</si>
  <si>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</si>
  <si>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</si>
  <si>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</si>
  <si>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</si>
  <si>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</si>
  <si>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</si>
  <si>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</si>
  <si>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</si>
  <si>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</si>
  <si>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</si>
  <si>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</si>
  <si>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</si>
  <si>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</si>
  <si>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</si>
  <si>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</si>
  <si>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</si>
  <si>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</si>
  <si>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</si>
  <si>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</si>
  <si>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</si>
  <si>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</si>
  <si>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</si>
  <si>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</si>
  <si>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</si>
  <si>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</si>
  <si>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</si>
  <si>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</si>
  <si>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</si>
  <si>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</si>
  <si>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</si>
  <si>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</si>
  <si>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</si>
  <si>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</si>
  <si>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</si>
  <si>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</si>
  <si>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</si>
  <si>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</si>
  <si>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</si>
  <si>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</si>
  <si>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</si>
  <si>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</si>
  <si>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</si>
  <si>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</si>
  <si>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</si>
  <si>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</si>
  <si>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</si>
  <si>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</si>
  <si>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</si>
  <si>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</si>
  <si>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</si>
  <si>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</si>
  <si>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</si>
  <si>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</si>
  <si>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</si>
  <si>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</si>
  <si>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</si>
  <si>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</si>
  <si>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</si>
  <si>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</si>
  <si>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</si>
  <si>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</si>
  <si>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</si>
  <si>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</si>
  <si>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</si>
  <si>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</si>
  <si>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</si>
  <si>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</si>
  <si>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</si>
  <si>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</si>
  <si>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</si>
  <si>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</si>
  <si>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</si>
  <si>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</si>
  <si>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</si>
  <si>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</si>
  <si>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</si>
  <si>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</si>
  <si>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</si>
  <si>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</si>
  <si>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</si>
  <si>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</si>
  <si>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</si>
  <si>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</si>
  <si>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</si>
  <si>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</si>
  <si>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</si>
  <si>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</si>
  <si>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</si>
  <si>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</si>
  <si>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</si>
  <si>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</si>
  <si>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</si>
  <si>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</si>
  <si>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</si>
  <si>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</si>
  <si>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</si>
  <si>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</si>
  <si>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</si>
  <si>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</si>
  <si>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</si>
  <si>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</si>
  <si>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</si>
  <si>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</si>
  <si>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</si>
  <si>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</si>
  <si>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</si>
  <si>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</si>
  <si>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</si>
  <si>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</si>
  <si>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</si>
  <si>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</si>
  <si>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</si>
  <si>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</si>
  <si>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</si>
  <si>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</si>
  <si>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</si>
  <si>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</si>
  <si>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</si>
  <si>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</si>
  <si>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</si>
  <si>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</si>
  <si>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</si>
  <si>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</si>
  <si>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</si>
  <si>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</si>
  <si>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</si>
  <si>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</si>
  <si>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</si>
  <si>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</si>
  <si>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</si>
  <si>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</si>
  <si>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</si>
  <si>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</si>
  <si>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</si>
  <si>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</si>
  <si>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</si>
  <si>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</si>
  <si>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</si>
  <si>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</si>
  <si>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</si>
  <si>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</si>
  <si>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</si>
  <si>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</si>
  <si>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</si>
  <si>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</si>
  <si>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</si>
  <si>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</si>
  <si>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</si>
  <si>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</si>
  <si>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</si>
  <si>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</si>
  <si>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</si>
  <si>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</si>
  <si>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</si>
  <si>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</si>
  <si>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</si>
  <si>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</si>
  <si>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</si>
  <si>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</si>
  <si>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</si>
  <si>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</si>
  <si>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</si>
  <si>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</si>
  <si>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</si>
  <si>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</si>
  <si>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</si>
  <si>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</si>
  <si>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</si>
  <si>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</si>
  <si>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</si>
  <si>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</si>
  <si>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</si>
  <si>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</si>
  <si>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</si>
  <si>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</si>
  <si>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</si>
  <si>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</si>
  <si>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</si>
  <si>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</si>
  <si>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</si>
  <si>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</si>
  <si>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</si>
  <si>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</si>
  <si>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</si>
  <si>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</si>
  <si>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</si>
  <si>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</si>
  <si>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</si>
  <si>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</si>
  <si>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</si>
  <si>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</si>
  <si>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</si>
  <si>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</si>
  <si>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</si>
  <si>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</si>
  <si>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</si>
  <si>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</si>
  <si>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</si>
  <si>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</si>
  <si>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</si>
  <si>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</si>
  <si>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</si>
  <si>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</si>
  <si>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</si>
  <si>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</si>
  <si>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</si>
  <si>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</si>
  <si>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</si>
  <si>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</si>
  <si>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</si>
  <si>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</si>
  <si>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</si>
  <si>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</si>
  <si>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</si>
  <si>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</si>
  <si>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</si>
  <si>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</si>
  <si>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</si>
  <si>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</si>
  <si>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</si>
  <si>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</si>
  <si>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</si>
  <si>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</si>
  <si>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</si>
  <si>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</si>
  <si>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</si>
  <si>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</si>
  <si>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</si>
  <si>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</si>
  <si>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</si>
  <si>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</si>
  <si>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</si>
  <si>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</si>
  <si>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</si>
  <si>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</si>
  <si>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</si>
  <si>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</si>
  <si>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</si>
  <si>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</si>
  <si>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</si>
  <si>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</si>
  <si>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</si>
  <si>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</si>
  <si>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</si>
  <si>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</si>
  <si>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</si>
  <si>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</si>
  <si>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</si>
  <si>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</si>
  <si>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</si>
  <si>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</si>
  <si>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</si>
  <si>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</si>
  <si>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</si>
  <si>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</si>
  <si>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</si>
  <si>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</si>
  <si>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</si>
  <si>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</si>
  <si>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</si>
  <si>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</si>
  <si>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</si>
  <si>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</si>
  <si>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</si>
  <si>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</si>
  <si>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</si>
  <si>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</si>
  <si>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</si>
  <si>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</si>
  <si>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</si>
  <si>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</si>
  <si>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</si>
  <si>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</si>
  <si>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</si>
  <si>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</si>
  <si>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</si>
  <si>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</si>
  <si>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</si>
  <si>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</si>
  <si>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</si>
  <si>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</si>
  <si>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</si>
  <si>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</si>
  <si>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</si>
  <si>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</si>
  <si>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</si>
  <si>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</si>
  <si>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</si>
  <si>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</si>
  <si>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</si>
  <si>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</si>
  <si>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</si>
  <si>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</si>
  <si>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</si>
  <si>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</si>
  <si>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</si>
  <si>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</si>
  <si>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</si>
  <si>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</si>
  <si>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</si>
  <si>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</si>
  <si>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</si>
  <si>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</si>
  <si>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</si>
  <si>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</si>
  <si>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</si>
  <si>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</si>
  <si>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</si>
  <si>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</si>
  <si>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</si>
  <si>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</si>
  <si>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</si>
  <si>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</si>
  <si>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</si>
  <si>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</si>
  <si>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</si>
  <si>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</si>
  <si>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</si>
  <si>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</si>
  <si>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</si>
  <si>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</si>
  <si>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</si>
  <si>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</si>
  <si>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</si>
  <si>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</si>
  <si>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</si>
  <si>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</si>
  <si>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</si>
  <si>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</si>
  <si>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</si>
  <si>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</si>
  <si>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</si>
  <si>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</si>
  <si>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</si>
  <si>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</si>
  <si>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</si>
  <si>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</si>
  <si>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</si>
  <si>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</si>
  <si>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</si>
  <si>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</si>
  <si>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</si>
  <si>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</si>
  <si>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</si>
  <si>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</si>
  <si>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</si>
  <si>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</si>
  <si>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</si>
  <si>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</si>
  <si>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</si>
  <si>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</si>
  <si>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</si>
  <si>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</si>
  <si>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</si>
  <si>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</si>
  <si>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</si>
  <si>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</si>
  <si>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</si>
  <si>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</si>
  <si>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</si>
  <si>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</si>
  <si>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</si>
  <si>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</si>
  <si>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</si>
  <si>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</si>
  <si>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</si>
  <si>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</si>
  <si>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</si>
  <si>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</si>
  <si>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</si>
  <si>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</si>
  <si>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</si>
  <si>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</si>
  <si>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</si>
  <si>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</si>
  <si>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</si>
  <si>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</si>
  <si>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</si>
  <si>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</si>
  <si>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</si>
  <si>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</si>
  <si>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</si>
  <si>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</si>
  <si>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</si>
  <si>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</si>
  <si>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</si>
  <si>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</si>
  <si>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</si>
  <si>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</si>
  <si>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</si>
  <si>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</si>
  <si>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</si>
  <si>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</si>
  <si>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</si>
  <si>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</si>
  <si>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</si>
  <si>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</si>
  <si>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</si>
  <si>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</si>
  <si>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</si>
  <si>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</si>
  <si>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</si>
  <si>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</si>
  <si>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</si>
  <si>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</si>
  <si>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</si>
  <si>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</si>
  <si>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</si>
  <si>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</si>
  <si>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</si>
  <si>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</si>
  <si>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</si>
  <si>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</si>
  <si>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</si>
  <si>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</si>
  <si>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</si>
  <si>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</si>
  <si>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</si>
  <si>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</si>
  <si>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</si>
  <si>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</si>
  <si>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</si>
  <si>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</si>
  <si>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</si>
  <si>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</si>
  <si>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</si>
  <si>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</si>
  <si>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</si>
  <si>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</si>
  <si>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</si>
  <si>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</si>
  <si>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</si>
  <si>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</si>
  <si>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</si>
  <si>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</si>
  <si>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</si>
  <si>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</si>
  <si>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</si>
  <si>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</si>
  <si>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</si>
  <si>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</si>
  <si>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</si>
  <si>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</si>
  <si>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</si>
  <si>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</si>
  <si>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</si>
  <si>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</si>
  <si>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</si>
  <si>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</si>
  <si>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</si>
  <si>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</si>
  <si>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</si>
  <si>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</si>
  <si>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</si>
  <si>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</si>
  <si>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</si>
  <si>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</si>
  <si>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</si>
  <si>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</si>
  <si>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</si>
  <si>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</si>
  <si>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</si>
  <si>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</si>
  <si>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</si>
  <si>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</si>
  <si>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</si>
  <si>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</si>
  <si>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</si>
  <si>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</si>
  <si>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</si>
  <si>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</si>
  <si>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</si>
  <si>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</si>
  <si>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</si>
  <si>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</si>
  <si>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</si>
  <si>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</si>
  <si>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</si>
  <si>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</si>
  <si>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</si>
  <si>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</si>
  <si>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</si>
  <si>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</si>
  <si>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</si>
  <si>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</si>
  <si>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</si>
  <si>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</si>
  <si>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</si>
  <si>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</si>
  <si>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</si>
  <si>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</si>
  <si>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</si>
  <si>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</si>
  <si>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</si>
  <si>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</si>
  <si>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</si>
  <si>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</si>
  <si>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</si>
  <si>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</si>
  <si>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</si>
  <si>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</si>
  <si>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</si>
  <si>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</si>
  <si>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</si>
  <si>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</si>
  <si>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</si>
  <si>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</si>
  <si>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</si>
  <si>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</si>
  <si>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</si>
  <si>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</si>
  <si>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</si>
  <si>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</si>
  <si>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</si>
  <si>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</si>
  <si>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</si>
  <si>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</si>
  <si>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</si>
  <si>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</si>
  <si>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</si>
  <si>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</si>
  <si>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</si>
  <si>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</si>
  <si>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</si>
  <si>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</si>
  <si>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</si>
  <si>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</si>
  <si>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</si>
  <si>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</si>
  <si>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</si>
  <si>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</si>
  <si>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</si>
  <si>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</si>
  <si>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</si>
  <si>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</si>
  <si>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</si>
  <si>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</si>
  <si>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</si>
  <si>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</si>
  <si>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</si>
  <si>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</si>
  <si>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</si>
  <si>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</si>
  <si>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</si>
  <si>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</si>
  <si>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</si>
  <si>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</si>
  <si>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</si>
  <si>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</si>
  <si>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</si>
  <si>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</si>
  <si>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</si>
  <si>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</si>
  <si>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</si>
  <si>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</si>
  <si>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</si>
  <si>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</si>
  <si>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</si>
  <si>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</si>
  <si>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</si>
  <si>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</si>
  <si>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</si>
  <si>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</si>
  <si>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</si>
  <si>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</si>
  <si>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</si>
  <si>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</si>
  <si>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</si>
  <si>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</si>
  <si>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</si>
  <si>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</si>
  <si>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</si>
  <si>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</si>
  <si>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</si>
  <si>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</si>
  <si>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</si>
  <si>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</si>
  <si>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</si>
  <si>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</si>
  <si>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</si>
  <si>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</si>
  <si>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</si>
  <si>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</si>
  <si>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</si>
  <si>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</si>
  <si>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</si>
  <si>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</si>
  <si>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</si>
  <si>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</si>
  <si>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</si>
  <si>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</si>
  <si>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</si>
  <si>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</si>
  <si>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</si>
  <si>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</si>
  <si>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</si>
  <si>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</si>
  <si>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</si>
  <si>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</si>
  <si>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</si>
  <si>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</si>
  <si>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</si>
  <si>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</si>
  <si>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</si>
  <si>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</si>
  <si>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</si>
  <si>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</si>
  <si>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</si>
  <si>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</si>
  <si>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</si>
  <si>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</si>
  <si>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</si>
  <si>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</si>
  <si>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</si>
  <si>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</si>
  <si>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</si>
  <si>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</si>
  <si>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</si>
  <si>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</si>
  <si>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</si>
  <si>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</si>
  <si>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</si>
  <si>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</si>
  <si>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</si>
  <si>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</si>
  <si>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</si>
  <si>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</si>
  <si>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</si>
  <si>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</si>
  <si>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</si>
  <si>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</si>
  <si>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</si>
  <si>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</si>
  <si>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</si>
  <si>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</si>
  <si>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</si>
  <si>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</si>
  <si>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</si>
  <si>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</si>
  <si>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</si>
  <si>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</si>
  <si>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</si>
  <si>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</si>
  <si>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</si>
  <si>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</si>
  <si>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</si>
  <si>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</si>
  <si>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</si>
  <si>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</si>
  <si>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</si>
  <si>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</si>
  <si>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</si>
  <si>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</si>
  <si>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</si>
  <si>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</si>
  <si>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</si>
  <si>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</si>
  <si>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</si>
  <si>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</si>
  <si>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</si>
  <si>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</si>
  <si>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</si>
  <si>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</si>
  <si>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</si>
  <si>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</si>
  <si>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</si>
  <si>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</si>
  <si>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</si>
  <si>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</si>
  <si>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</si>
  <si>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</si>
  <si>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</si>
  <si>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</si>
  <si>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</si>
  <si>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</si>
  <si>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</si>
  <si>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</si>
  <si>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</si>
  <si>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</si>
  <si>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</si>
  <si>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</si>
  <si>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</si>
  <si>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</si>
  <si>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</si>
  <si>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</si>
  <si>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</si>
  <si>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</si>
  <si>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</si>
  <si>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</si>
  <si>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</si>
  <si>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</si>
  <si>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</si>
  <si>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</si>
  <si>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</si>
  <si>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</si>
  <si>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</si>
  <si>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</si>
  <si>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</si>
  <si>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</si>
  <si>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</si>
  <si>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</si>
  <si>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</si>
  <si>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</si>
  <si>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</si>
  <si>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</si>
  <si>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</si>
  <si>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</si>
  <si>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</si>
  <si>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</si>
  <si>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</si>
  <si>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</si>
  <si>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</si>
  <si>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</si>
  <si>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</si>
  <si>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</si>
  <si>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</si>
  <si>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</si>
  <si>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</si>
  <si>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</si>
  <si>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</si>
  <si>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</si>
  <si>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</si>
  <si>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</si>
  <si>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</si>
  <si>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</si>
  <si>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</si>
  <si>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</si>
  <si>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</si>
  <si>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</si>
  <si>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</si>
  <si>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</si>
  <si>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</si>
  <si>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</si>
  <si>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</si>
  <si>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</si>
  <si>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</si>
  <si>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</si>
  <si>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</si>
  <si>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</si>
  <si>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</si>
  <si>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</si>
  <si>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</si>
  <si>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</si>
  <si>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</si>
  <si>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</si>
  <si>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</si>
  <si>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</si>
  <si>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</si>
  <si>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</si>
  <si>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</si>
  <si>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</si>
  <si>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</si>
  <si>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</si>
  <si>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</si>
  <si>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</si>
  <si>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</si>
  <si>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</si>
  <si>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</si>
  <si>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</si>
  <si>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</si>
  <si>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</si>
  <si>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</si>
  <si>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</si>
  <si>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</si>
  <si>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</si>
  <si>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</si>
  <si>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</si>
  <si>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</si>
  <si>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</si>
  <si>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</si>
  <si>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</si>
  <si>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</si>
  <si>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</si>
  <si>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</si>
  <si>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</si>
  <si>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</si>
  <si>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</si>
  <si>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</si>
  <si>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</si>
  <si>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</si>
  <si>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</si>
  <si>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</si>
  <si>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</si>
  <si>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</si>
  <si>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</si>
  <si>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</si>
  <si>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</si>
  <si>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</si>
  <si>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</si>
  <si>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</si>
  <si>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</si>
  <si>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</si>
  <si>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</si>
  <si>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</si>
  <si>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</si>
  <si>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</si>
  <si>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</si>
  <si>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</si>
  <si>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</si>
  <si>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</si>
  <si>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</si>
  <si>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</si>
  <si>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</si>
  <si>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</si>
  <si>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</si>
  <si>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</si>
  <si>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</si>
  <si>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</si>
  <si>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</si>
  <si>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</si>
  <si>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</si>
  <si>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</si>
  <si>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</si>
  <si>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</si>
  <si>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</si>
  <si>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</si>
  <si>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</si>
  <si>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</si>
  <si>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</si>
  <si>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</si>
  <si>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</si>
  <si>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</si>
  <si>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</si>
  <si>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</si>
  <si>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</si>
  <si>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</si>
  <si>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</si>
  <si>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</si>
  <si>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</si>
  <si>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</si>
  <si>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</si>
  <si>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</si>
  <si>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</si>
  <si>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</si>
  <si>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</si>
  <si>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</si>
  <si>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</si>
  <si>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</si>
  <si>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</si>
  <si>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</si>
  <si>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</si>
  <si>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</si>
  <si>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</si>
  <si>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</si>
  <si>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</si>
  <si>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</si>
  <si>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</si>
  <si>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</si>
  <si>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</si>
  <si>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</si>
  <si>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</si>
  <si>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</si>
  <si>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</si>
  <si>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</si>
  <si>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</si>
  <si>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</si>
  <si>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</si>
  <si>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</si>
  <si>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</si>
  <si>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</si>
  <si>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</si>
  <si>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</si>
  <si>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</si>
  <si>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</si>
  <si>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</si>
  <si>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</si>
  <si>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</si>
  <si>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</si>
  <si>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</si>
  <si>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</si>
  <si>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</si>
  <si>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</si>
  <si>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</si>
  <si>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</si>
  <si>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</si>
  <si>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</si>
  <si>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</si>
  <si>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</si>
  <si>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</si>
  <si>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</si>
  <si>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</si>
  <si>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</si>
  <si>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</si>
  <si>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</si>
  <si>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</si>
  <si>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</si>
  <si>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</si>
  <si>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</si>
  <si>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</si>
  <si>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</si>
  <si>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</si>
  <si>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</si>
  <si>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</si>
  <si>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</si>
  <si>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</si>
  <si>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</si>
  <si>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</si>
  <si>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</si>
  <si>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</si>
  <si>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</si>
  <si>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</si>
  <si>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</si>
  <si>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</si>
  <si>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</si>
  <si>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</si>
  <si>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</si>
  <si>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</si>
  <si>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</si>
  <si>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</si>
  <si>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</si>
  <si>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</si>
  <si>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</si>
  <si>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</si>
  <si>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</si>
  <si>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</si>
  <si>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</si>
  <si>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</si>
  <si>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</si>
  <si>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</si>
  <si>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</si>
  <si>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</si>
  <si>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</si>
  <si>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</si>
  <si>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</si>
  <si>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</si>
  <si>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</si>
  <si>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</si>
  <si>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</si>
  <si>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</si>
  <si>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</si>
  <si>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</si>
  <si>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</si>
  <si>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</si>
  <si>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</si>
  <si>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</si>
  <si>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</si>
  <si>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</si>
  <si>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</si>
  <si>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</si>
  <si>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</si>
  <si>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</si>
  <si>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</si>
  <si>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</si>
  <si>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</si>
  <si>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</si>
  <si>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</si>
  <si>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</si>
  <si>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</si>
  <si>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</si>
  <si>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</si>
  <si>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</si>
  <si>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</si>
  <si>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</si>
  <si>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</si>
  <si>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</si>
  <si>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</si>
  <si>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</si>
  <si>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</si>
  <si>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</si>
  <si>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</si>
  <si>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</si>
  <si>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</si>
  <si>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</si>
  <si>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</si>
  <si>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</si>
  <si>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</si>
  <si>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</si>
  <si>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</si>
  <si>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</si>
  <si>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</si>
  <si>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</si>
  <si>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</si>
  <si>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</si>
  <si>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</si>
  <si>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</si>
  <si>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</si>
  <si>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</si>
  <si>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</si>
  <si>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</si>
  <si>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</si>
  <si>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</si>
  <si>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</si>
  <si>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</si>
  <si>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</si>
  <si>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</si>
  <si>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</si>
  <si>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</si>
  <si>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</si>
  <si>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</si>
  <si>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</si>
  <si>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</si>
  <si>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</si>
  <si>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</si>
  <si>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</si>
  <si>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</si>
  <si>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</si>
  <si>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</si>
  <si>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</si>
  <si>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</si>
  <si>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</si>
  <si>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</si>
  <si>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</si>
  <si>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</si>
  <si>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</si>
  <si>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</si>
  <si>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</si>
  <si>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</si>
  <si>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</si>
  <si>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</si>
  <si>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</si>
  <si>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</si>
  <si>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</si>
  <si>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</si>
  <si>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</si>
  <si>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</si>
  <si>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</si>
  <si>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</si>
  <si>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</si>
  <si>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</si>
  <si>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</si>
  <si>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</si>
  <si>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</si>
  <si>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</si>
  <si>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</si>
  <si>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</si>
  <si>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</si>
  <si>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</si>
  <si>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</si>
  <si>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</si>
  <si>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</si>
  <si>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</si>
  <si>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</si>
  <si>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</si>
  <si>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</si>
  <si>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</si>
  <si>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</si>
  <si>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</si>
  <si>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</si>
  <si>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</si>
  <si>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</si>
  <si>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</si>
  <si>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</si>
  <si>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</si>
  <si>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</si>
  <si>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</si>
  <si>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</si>
  <si>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</si>
  <si>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</si>
  <si>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</si>
  <si>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</si>
  <si>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</si>
  <si>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</si>
  <si>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</si>
  <si>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</si>
  <si>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</si>
  <si>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</si>
  <si>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</si>
  <si>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</si>
  <si>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</si>
  <si>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</si>
  <si>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</si>
  <si>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</si>
  <si>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</si>
  <si>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</si>
  <si>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</si>
  <si>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</si>
  <si>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</si>
  <si>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</si>
  <si>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</si>
  <si>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</si>
  <si>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</si>
  <si>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</si>
  <si>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</si>
  <si>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</si>
  <si>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</si>
  <si>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</si>
  <si>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</si>
  <si>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</si>
  <si>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</si>
  <si>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</si>
  <si>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</si>
  <si>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</si>
  <si>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</si>
  <si>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</si>
  <si>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</si>
  <si>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</si>
  <si>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</si>
  <si>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</si>
  <si>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</si>
  <si>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</si>
  <si>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</si>
  <si>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</si>
  <si>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</si>
  <si>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</si>
  <si>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</si>
  <si>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</si>
  <si>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</si>
  <si>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</si>
  <si>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</si>
  <si>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</si>
  <si>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</si>
  <si>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</si>
  <si>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</si>
  <si>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</si>
  <si>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</si>
  <si>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</si>
  <si>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</si>
  <si>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</si>
  <si>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</si>
  <si>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</si>
  <si>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</si>
  <si>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</si>
  <si>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</si>
  <si>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</si>
  <si>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</si>
  <si>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</si>
  <si>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</si>
  <si>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</si>
  <si>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</si>
  <si>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</si>
  <si>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</si>
  <si>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</si>
  <si>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</si>
  <si>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</si>
  <si>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</si>
  <si>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</si>
  <si>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</si>
  <si>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</si>
  <si>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</si>
  <si>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</si>
  <si>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</si>
  <si>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</si>
  <si>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</si>
  <si>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</si>
  <si>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</si>
  <si>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</si>
  <si>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</si>
  <si>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</si>
  <si>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</si>
  <si>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</si>
  <si>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</si>
  <si>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</si>
  <si>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</si>
  <si>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</si>
  <si>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</si>
  <si>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</si>
  <si>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</si>
  <si>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</si>
  <si>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</si>
  <si>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</si>
  <si>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</si>
  <si>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</si>
  <si>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</si>
  <si>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</si>
  <si>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</si>
  <si>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</si>
  <si>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</si>
  <si>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</si>
  <si>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</si>
  <si>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</si>
  <si>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</si>
  <si>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</si>
  <si>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</si>
  <si>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</si>
  <si>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</si>
  <si>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</si>
  <si>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</si>
  <si>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</si>
  <si>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</si>
  <si>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</si>
  <si>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</si>
  <si>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</si>
  <si>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</si>
  <si>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</si>
  <si>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</si>
  <si>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</si>
  <si>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</si>
  <si>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</si>
  <si>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</si>
  <si>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</si>
  <si>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</si>
  <si>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</si>
  <si>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</si>
  <si>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</si>
  <si>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</si>
  <si>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</si>
  <si>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</si>
  <si>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</si>
  <si>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</si>
  <si>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</si>
  <si>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</si>
  <si>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</si>
  <si>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</si>
  <si>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</si>
  <si>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</si>
  <si>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</si>
  <si>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</si>
  <si>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</si>
  <si>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</si>
  <si>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</si>
  <si>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</si>
  <si>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</si>
  <si>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</si>
  <si>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</si>
  <si>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</si>
  <si>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</si>
  <si>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</si>
  <si>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</si>
  <si>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</si>
  <si>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</si>
  <si>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</si>
  <si>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</si>
  <si>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</si>
  <si>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</si>
  <si>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</si>
  <si>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</si>
  <si>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</si>
  <si>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</si>
  <si>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</si>
  <si>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</si>
  <si>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</si>
  <si>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</si>
  <si>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</si>
  <si>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</si>
  <si>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</si>
  <si>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</si>
  <si>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</si>
  <si>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</si>
  <si>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</si>
  <si>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</si>
  <si>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</si>
  <si>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</si>
  <si>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</si>
  <si>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</si>
  <si>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</si>
  <si>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</si>
  <si>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</si>
  <si>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</si>
  <si>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</si>
  <si>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</si>
  <si>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</si>
  <si>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</si>
  <si>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</si>
  <si>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</si>
  <si>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</si>
  <si>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</si>
  <si>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</si>
  <si>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</si>
  <si>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</si>
  <si>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</si>
  <si>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</si>
  <si>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</si>
  <si>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</si>
  <si>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</si>
  <si>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</si>
  <si>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</si>
  <si>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</si>
  <si>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</si>
  <si>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</si>
  <si>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</si>
  <si>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</si>
  <si>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</si>
  <si>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</si>
  <si>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</si>
  <si>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</si>
  <si>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</si>
  <si>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</si>
  <si>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</si>
  <si>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</si>
  <si>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</si>
  <si>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</si>
  <si>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</si>
  <si>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</si>
  <si>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</si>
  <si>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</si>
  <si>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</si>
  <si>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</si>
  <si>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</si>
  <si>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</si>
  <si>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</si>
  <si>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</si>
  <si>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</si>
  <si>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</si>
  <si>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</si>
  <si>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</si>
  <si>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</si>
  <si>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</si>
  <si>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</si>
  <si>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</si>
  <si>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</si>
  <si>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</si>
  <si>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</si>
  <si>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</si>
  <si>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</si>
  <si>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</si>
  <si>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</si>
  <si>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</si>
  <si>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</si>
  <si>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</si>
  <si>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</si>
  <si>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</si>
  <si>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</si>
  <si>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</si>
  <si>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</si>
  <si>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</si>
  <si>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</si>
  <si>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</si>
  <si>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</si>
  <si>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</si>
  <si>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</si>
  <si>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</si>
  <si>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</si>
  <si>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</si>
  <si>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</si>
  <si>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</si>
  <si>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</si>
  <si>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</si>
  <si>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</si>
  <si>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</si>
  <si>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</si>
  <si>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</si>
  <si>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</si>
  <si>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</si>
  <si>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</si>
  <si>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</si>
  <si>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</si>
  <si>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</si>
  <si>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</si>
  <si>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</si>
  <si>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</si>
  <si>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</si>
  <si>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</si>
  <si>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</si>
  <si>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</si>
  <si>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</si>
  <si>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</si>
  <si>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</si>
  <si>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</si>
  <si>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</si>
  <si>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</si>
  <si>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</si>
  <si>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</si>
  <si>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</si>
  <si>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</si>
  <si>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</si>
  <si>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</si>
  <si>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</si>
  <si>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</si>
  <si>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</si>
  <si>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</si>
  <si>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</si>
  <si>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</si>
  <si>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</si>
  <si>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</si>
  <si>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</si>
  <si>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</si>
  <si>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</si>
  <si>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</si>
  <si>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</si>
  <si>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</si>
  <si>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</si>
  <si>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</si>
  <si>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</si>
  <si>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</si>
  <si>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</si>
  <si>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</si>
  <si>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</si>
  <si>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</si>
  <si>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</si>
  <si>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</si>
  <si>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</si>
  <si>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</si>
  <si>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</si>
  <si>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</si>
  <si>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</si>
  <si>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</si>
  <si>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</si>
  <si>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</si>
  <si>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</si>
  <si>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</si>
  <si>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</si>
  <si>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</si>
  <si>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</si>
  <si>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</si>
  <si>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</si>
  <si>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</si>
  <si>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</si>
  <si>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</si>
  <si>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</si>
  <si>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</si>
  <si>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</si>
  <si>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</si>
  <si>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</si>
  <si>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</si>
  <si>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</si>
  <si>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</si>
  <si>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</si>
  <si>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</si>
  <si>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</si>
  <si>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</si>
  <si>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</si>
  <si>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</si>
  <si>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</si>
  <si>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</si>
  <si>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</si>
  <si>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</si>
  <si>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</si>
  <si>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</si>
  <si>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</si>
  <si>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</si>
  <si>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</si>
  <si>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</si>
  <si>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</si>
  <si>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</si>
  <si>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</si>
  <si>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</si>
  <si>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</si>
  <si>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</si>
  <si>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</si>
  <si>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</si>
  <si>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</si>
  <si>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</si>
  <si>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</si>
  <si>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</si>
  <si>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</si>
  <si>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</si>
  <si>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</si>
  <si>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</si>
  <si>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</si>
  <si>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</si>
  <si>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</si>
  <si>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</si>
  <si>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</si>
  <si>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</si>
  <si>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</si>
  <si>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</si>
  <si>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</si>
  <si>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</si>
  <si>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</si>
  <si>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</si>
  <si>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</si>
  <si>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</si>
  <si>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</si>
  <si>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</si>
  <si>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</si>
  <si>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</si>
  <si>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</si>
  <si>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</si>
  <si>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</si>
  <si>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</si>
  <si>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</si>
  <si>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</si>
  <si>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</si>
  <si>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</si>
  <si>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</si>
  <si>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</si>
  <si>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</si>
  <si>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</si>
  <si>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</si>
  <si>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</si>
  <si>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</si>
  <si>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</si>
  <si>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</si>
  <si>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</si>
  <si>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</si>
  <si>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</si>
  <si>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</si>
  <si>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</si>
  <si>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</si>
  <si>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</si>
  <si>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</si>
  <si>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</si>
  <si>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</si>
  <si>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</si>
  <si>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</si>
  <si>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</si>
  <si>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</si>
  <si>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</si>
  <si>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</si>
  <si>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</si>
  <si>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</si>
  <si>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</si>
  <si>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</si>
  <si>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</si>
  <si>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</si>
  <si>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</si>
  <si>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</si>
  <si>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</si>
  <si>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</si>
  <si>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</si>
  <si>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</si>
  <si>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</si>
  <si>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</si>
  <si>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</si>
  <si>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</si>
  <si>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</si>
  <si>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</si>
  <si>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</si>
  <si>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</si>
  <si>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</si>
  <si>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</si>
  <si>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</si>
  <si>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</si>
  <si>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</si>
  <si>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</si>
  <si>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</si>
  <si>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</si>
  <si>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</si>
  <si>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</si>
  <si>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</si>
  <si>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</si>
  <si>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</si>
  <si>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</si>
  <si>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</si>
  <si>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</si>
  <si>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</si>
  <si>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</si>
  <si>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</si>
  <si>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</si>
  <si>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</si>
  <si>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</si>
  <si>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</si>
  <si>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</si>
  <si>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</si>
  <si>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</si>
  <si>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</si>
  <si>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</si>
  <si>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</si>
  <si>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</si>
  <si>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</si>
  <si>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</si>
  <si>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</si>
  <si>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</si>
  <si>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</si>
  <si>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</si>
  <si>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</si>
  <si>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</si>
  <si>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</si>
  <si>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</si>
  <si>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</si>
  <si>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</si>
  <si>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</si>
  <si>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</si>
  <si>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</si>
  <si>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</si>
  <si>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</si>
  <si>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</si>
  <si>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</si>
  <si>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</si>
  <si>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</si>
  <si>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</si>
  <si>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</si>
  <si>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</si>
  <si>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</si>
  <si>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</si>
  <si>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</si>
  <si>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</si>
  <si>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</si>
  <si>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</si>
  <si>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</si>
  <si>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</si>
  <si>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</si>
  <si>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</si>
  <si>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</si>
  <si>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</si>
  <si>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</si>
  <si>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</si>
  <si>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</si>
  <si>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</si>
  <si>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</si>
  <si>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</si>
  <si>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</si>
  <si>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</si>
  <si>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</si>
  <si>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</si>
  <si>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</si>
  <si>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</si>
  <si>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</si>
  <si>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</si>
  <si>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</si>
  <si>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</si>
  <si>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</si>
  <si>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</si>
  <si>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</si>
  <si>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</si>
  <si>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</si>
  <si>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</si>
  <si>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</si>
  <si>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</si>
  <si>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</si>
  <si>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</si>
  <si>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</si>
  <si>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</si>
  <si>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</si>
  <si>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</si>
  <si>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</si>
  <si>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</si>
  <si>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</si>
  <si>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</si>
  <si>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</si>
  <si>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</si>
  <si>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</si>
  <si>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</si>
  <si>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</si>
  <si>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</si>
  <si>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</si>
  <si>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</si>
  <si>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</si>
  <si>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</si>
  <si>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</si>
  <si>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</si>
  <si>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</si>
  <si>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</si>
  <si>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</si>
  <si>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</si>
  <si>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</si>
  <si>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</si>
  <si>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</si>
  <si>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</si>
  <si>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</si>
  <si>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</si>
  <si>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</si>
  <si>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</si>
  <si>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</si>
  <si>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</si>
  <si>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</si>
  <si>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</si>
  <si>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</si>
  <si>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</si>
  <si>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</si>
  <si>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</si>
  <si>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</si>
  <si>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</si>
  <si>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</si>
  <si>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</si>
  <si>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</si>
  <si>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</si>
  <si>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</si>
  <si>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</si>
  <si>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</si>
  <si>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</si>
  <si>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</si>
  <si>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</si>
  <si>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</si>
  <si>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</si>
  <si>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</si>
  <si>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</si>
  <si>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</si>
  <si>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</si>
  <si>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</si>
  <si>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</si>
  <si>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</si>
  <si>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</si>
  <si>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</si>
  <si>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</si>
  <si>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</si>
  <si>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</si>
  <si>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</si>
  <si>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</si>
  <si>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</si>
  <si>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</si>
  <si>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</si>
  <si>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</si>
  <si>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</si>
  <si>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</si>
  <si>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</si>
  <si>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</si>
  <si>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</si>
  <si>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</si>
  <si>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</si>
  <si>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</si>
  <si>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</si>
  <si>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</si>
  <si>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</si>
  <si>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</si>
  <si>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</si>
  <si>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</si>
  <si>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</si>
  <si>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</si>
  <si>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</si>
  <si>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</si>
  <si>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</si>
  <si>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</si>
  <si>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</si>
  <si>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</si>
  <si>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</si>
  <si>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</si>
  <si>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</si>
  <si>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</si>
  <si>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</si>
  <si>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</si>
  <si>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</si>
  <si>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</si>
  <si>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</si>
  <si>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</si>
  <si>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</si>
  <si>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</si>
  <si>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</si>
  <si>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</si>
  <si>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</si>
  <si>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</si>
  <si>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</si>
  <si>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</si>
  <si>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</si>
  <si>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</si>
  <si>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</si>
  <si>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</si>
  <si>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</si>
  <si>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</si>
  <si>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</si>
  <si>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</si>
  <si>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</si>
  <si>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</si>
  <si>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</si>
  <si>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</si>
  <si>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</si>
  <si>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</si>
  <si>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</si>
  <si>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</si>
  <si>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</si>
  <si>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</si>
  <si>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</si>
  <si>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</si>
  <si>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</si>
  <si>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</si>
  <si>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</si>
  <si>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</si>
  <si>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</si>
  <si>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</si>
  <si>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</si>
  <si>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</si>
  <si>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</si>
  <si>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</si>
  <si>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</si>
  <si>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</si>
  <si>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</si>
  <si>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</si>
  <si>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</si>
  <si>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</si>
  <si>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</si>
  <si>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</si>
  <si>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</si>
  <si>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</si>
  <si>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</si>
  <si>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</si>
  <si>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</si>
  <si>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</si>
  <si>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</si>
  <si>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</si>
  <si>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</si>
  <si>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</si>
  <si>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</si>
  <si>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</si>
  <si>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</si>
  <si>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</si>
  <si>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</si>
  <si>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</si>
  <si>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</si>
  <si>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</si>
  <si>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</si>
  <si>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</si>
  <si>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</si>
  <si>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</si>
  <si>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</si>
  <si>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</si>
  <si>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</si>
  <si>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</si>
  <si>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</si>
  <si>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</si>
  <si>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</si>
  <si>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</si>
  <si>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</si>
  <si>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</si>
  <si>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</si>
  <si>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</si>
  <si>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</si>
  <si>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</si>
  <si>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</si>
  <si>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</si>
  <si>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</si>
  <si>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</si>
  <si>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</si>
  <si>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</si>
  <si>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</si>
  <si>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</si>
  <si>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</si>
  <si>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</si>
  <si>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</si>
  <si>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</si>
  <si>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</si>
  <si>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</si>
  <si>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</si>
  <si>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</si>
  <si>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</si>
  <si>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</si>
  <si>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</si>
  <si>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</si>
  <si>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</si>
  <si>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</si>
  <si>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</si>
  <si>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</si>
  <si>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</si>
  <si>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</si>
  <si>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</si>
  <si>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</si>
  <si>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</si>
  <si>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</si>
  <si>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</si>
  <si>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</si>
  <si>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</si>
  <si>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</si>
  <si>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</si>
  <si>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</si>
  <si>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</si>
  <si>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</si>
  <si>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</si>
  <si>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</si>
  <si>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</si>
  <si>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</si>
  <si>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</si>
  <si>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</si>
  <si>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</si>
  <si>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</si>
  <si>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</si>
  <si>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</si>
  <si>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</si>
  <si>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</si>
  <si>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</si>
  <si>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</si>
  <si>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</si>
  <si>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</si>
  <si>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</si>
  <si>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</si>
  <si>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</si>
  <si>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</si>
  <si>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</si>
  <si>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</si>
  <si>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</si>
  <si>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</si>
  <si>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</si>
  <si>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</si>
  <si>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</si>
  <si>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</si>
  <si>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</si>
  <si>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</si>
  <si>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</si>
  <si>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</si>
  <si>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</si>
  <si>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</si>
  <si>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</si>
  <si>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</si>
  <si>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</si>
  <si>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</si>
  <si>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</si>
  <si>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</si>
  <si>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</si>
  <si>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</si>
  <si>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</si>
  <si>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</si>
  <si>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</si>
  <si>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</si>
  <si>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</si>
  <si>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</si>
  <si>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</si>
  <si>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</si>
  <si>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</si>
  <si>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</si>
  <si>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</si>
  <si>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</si>
  <si>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</si>
  <si>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</si>
  <si>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</si>
  <si>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</si>
  <si>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</si>
  <si>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</si>
  <si>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</si>
  <si>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</si>
  <si>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</si>
  <si>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</si>
  <si>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</si>
  <si>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</si>
  <si>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</si>
  <si>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</si>
  <si>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</si>
  <si>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</si>
  <si>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</si>
  <si>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</si>
  <si>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</si>
  <si>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</si>
  <si>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</si>
  <si>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</si>
  <si>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</si>
  <si>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</si>
  <si>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</si>
  <si>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</si>
  <si>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</si>
  <si>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</si>
  <si>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</si>
  <si>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</si>
  <si>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</si>
  <si>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</si>
  <si>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</si>
  <si>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</si>
  <si>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</si>
  <si>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</si>
  <si>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</si>
  <si>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</si>
  <si>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</si>
  <si>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</si>
  <si>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</si>
  <si>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</si>
  <si>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</si>
  <si>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</si>
  <si>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</si>
  <si>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</si>
  <si>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</si>
  <si>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</si>
  <si>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</si>
  <si>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</si>
  <si>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</si>
  <si>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</si>
  <si>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</si>
  <si>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</si>
  <si>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</si>
  <si>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</si>
  <si>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</si>
  <si>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</si>
  <si>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</si>
  <si>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</si>
  <si>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</si>
  <si>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</si>
  <si>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</si>
  <si>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</si>
  <si>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</si>
  <si>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</si>
  <si>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</si>
  <si>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</si>
  <si>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</si>
  <si>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</si>
  <si>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</si>
  <si>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</si>
  <si>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</si>
  <si>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</si>
  <si>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</si>
  <si>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</si>
  <si>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</si>
  <si>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</si>
  <si>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</si>
  <si>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</si>
  <si>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</si>
  <si>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</si>
  <si>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</si>
  <si>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</si>
  <si>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</si>
  <si>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</si>
  <si>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</si>
  <si>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</si>
  <si>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</si>
  <si>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</si>
  <si>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</si>
  <si>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</si>
  <si>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</si>
  <si>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</si>
  <si>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</si>
  <si>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</si>
  <si>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</si>
  <si>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</si>
  <si>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</si>
  <si>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</si>
  <si>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</si>
  <si>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</si>
  <si>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</si>
  <si>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</si>
  <si>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</si>
  <si>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</si>
  <si>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</si>
  <si>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</si>
  <si>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</si>
  <si>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</si>
  <si>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</si>
  <si>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</si>
  <si>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</si>
  <si>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</si>
  <si>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</si>
  <si>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</si>
  <si>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</si>
  <si>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</si>
  <si>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</si>
  <si>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</si>
  <si>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</si>
  <si>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</si>
  <si>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</si>
  <si>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</si>
  <si>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</si>
  <si>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</si>
  <si>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</si>
  <si>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</si>
  <si>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</si>
  <si>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</si>
  <si>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</si>
  <si>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</si>
  <si>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</si>
  <si>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</si>
  <si>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</si>
  <si>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</si>
  <si>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</si>
  <si>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</si>
  <si>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</si>
  <si>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</si>
  <si>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</si>
  <si>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</si>
  <si>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</si>
  <si>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</si>
  <si>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</si>
  <si>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</si>
  <si>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</si>
  <si>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</si>
  <si>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</si>
  <si>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</si>
  <si>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</si>
  <si>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</si>
  <si>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</si>
  <si>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</si>
  <si>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</si>
  <si>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</si>
  <si>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</si>
  <si>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</si>
  <si>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</si>
  <si>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</si>
  <si>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</si>
  <si>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</si>
  <si>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</si>
  <si>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</si>
  <si>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</si>
  <si>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</si>
  <si>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</si>
  <si>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</si>
  <si>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</si>
  <si>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</si>
  <si>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</si>
  <si>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</si>
  <si>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</si>
  <si>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</si>
  <si>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</si>
  <si>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</si>
  <si>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</si>
  <si>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</si>
  <si>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</si>
  <si>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</si>
  <si>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</si>
  <si>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</si>
  <si>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</si>
  <si>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</si>
  <si>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</si>
  <si>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</si>
  <si>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</si>
  <si>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</si>
  <si>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</si>
  <si>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</si>
  <si>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</si>
  <si>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</si>
  <si>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</si>
  <si>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</si>
  <si>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</si>
  <si>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</si>
  <si>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</si>
  <si>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</si>
  <si>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</si>
  <si>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</si>
  <si>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</si>
  <si>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</si>
  <si>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</si>
  <si>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</si>
  <si>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</si>
  <si>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</si>
  <si>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</si>
  <si>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</si>
  <si>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</si>
  <si>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</si>
  <si>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</si>
  <si>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</si>
  <si>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</si>
  <si>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</si>
  <si>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</si>
  <si>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</si>
  <si>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</si>
  <si>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</si>
  <si>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</si>
  <si>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</si>
  <si>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</si>
  <si>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</si>
  <si>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</si>
  <si>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</si>
  <si>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</si>
  <si>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</si>
  <si>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</si>
  <si>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</si>
  <si>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</si>
  <si>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</si>
  <si>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</si>
  <si>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</si>
  <si>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</si>
  <si>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</si>
  <si>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</si>
  <si>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</si>
  <si>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</si>
  <si>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</si>
  <si>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</si>
  <si>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</si>
  <si>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</si>
  <si>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</si>
  <si>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</si>
  <si>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</si>
  <si>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</si>
  <si>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</si>
  <si>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</si>
  <si>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</si>
  <si>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</si>
  <si>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</si>
  <si>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</si>
  <si>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</si>
  <si>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</si>
  <si>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</si>
  <si>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</si>
  <si>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</si>
  <si>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</si>
  <si>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</si>
  <si>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</si>
  <si>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</si>
  <si>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</si>
  <si>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</si>
  <si>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</si>
  <si>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</si>
  <si>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</si>
  <si>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</si>
  <si>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</si>
  <si>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</si>
  <si>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</si>
  <si>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</si>
  <si>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</si>
  <si>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</si>
  <si>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</si>
  <si>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</si>
  <si>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</si>
  <si>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</si>
  <si>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</si>
  <si>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</si>
  <si>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</si>
  <si>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</si>
  <si>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</si>
  <si>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</si>
  <si>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</si>
  <si>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</si>
  <si>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</si>
  <si>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</si>
  <si>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</si>
  <si>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</si>
  <si>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</si>
  <si>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</si>
  <si>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</si>
  <si>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</si>
  <si>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</si>
  <si>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</si>
  <si>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</si>
  <si>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</si>
  <si>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</si>
  <si>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</si>
  <si>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</si>
  <si>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</si>
  <si>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</si>
  <si>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</si>
  <si>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</si>
  <si>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</si>
  <si>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</si>
  <si>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</si>
  <si>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</si>
  <si>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</si>
  <si>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</si>
  <si>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</si>
  <si>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</si>
  <si>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</si>
  <si>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</si>
  <si>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</si>
  <si>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</si>
  <si>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</si>
  <si>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</si>
  <si>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</si>
  <si>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</si>
  <si>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</si>
  <si>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</si>
  <si>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</si>
  <si>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</si>
  <si>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</si>
  <si>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</si>
  <si>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</si>
  <si>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</si>
  <si>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</si>
  <si>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</si>
  <si>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</si>
  <si>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</si>
  <si>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</si>
  <si>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</si>
  <si>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</si>
  <si>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</si>
  <si>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</si>
  <si>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</si>
  <si>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</si>
  <si>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</si>
  <si>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</si>
  <si>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</si>
  <si>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</si>
  <si>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</si>
  <si>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</si>
  <si>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</si>
  <si>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</si>
  <si>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</si>
  <si>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</si>
  <si>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</si>
  <si>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</si>
  <si>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</si>
  <si>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</si>
  <si>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</si>
  <si>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</si>
  <si>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</si>
  <si>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</si>
  <si>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</si>
  <si>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</si>
  <si>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</si>
  <si>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</si>
  <si>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</si>
  <si>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</si>
  <si>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</si>
  <si>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</si>
  <si>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</si>
  <si>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</si>
  <si>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</si>
  <si>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</si>
  <si>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</si>
  <si>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</si>
  <si>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</si>
  <si>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</si>
  <si>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</si>
  <si>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</si>
  <si>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</si>
  <si>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</si>
  <si>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</si>
  <si>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</si>
  <si>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</si>
  <si>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</si>
  <si>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</si>
  <si>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</si>
  <si>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</si>
  <si>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</si>
  <si>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</si>
  <si>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</si>
  <si>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</si>
  <si>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</si>
  <si>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</si>
  <si>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</si>
  <si>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</si>
  <si>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</si>
  <si>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</si>
  <si>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</si>
  <si>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</si>
  <si>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</si>
  <si>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</si>
  <si>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</si>
  <si>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</si>
  <si>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</si>
  <si>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</si>
  <si>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</si>
  <si>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</si>
  <si>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</si>
  <si>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</si>
  <si>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</si>
  <si>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</si>
  <si>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</si>
  <si>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</si>
  <si>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</si>
  <si>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</si>
  <si>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</si>
  <si>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</si>
  <si>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</si>
  <si>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</si>
  <si>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</si>
  <si>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</si>
  <si>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</si>
  <si>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</si>
  <si>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</si>
  <si>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</si>
  <si>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</si>
  <si>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</si>
  <si>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</si>
  <si>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</si>
  <si>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</si>
  <si>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</si>
  <si>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</si>
  <si>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</si>
  <si>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</si>
  <si>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</si>
  <si>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</si>
  <si>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</si>
  <si>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</si>
  <si>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</si>
  <si>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</si>
  <si>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</si>
  <si>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</si>
  <si>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</si>
  <si>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</si>
  <si>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</si>
  <si>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</si>
  <si>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</si>
  <si>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</si>
  <si>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</si>
  <si>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</si>
  <si>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</si>
  <si>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</si>
  <si>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</si>
  <si>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</si>
  <si>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</si>
  <si>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</si>
  <si>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</si>
  <si>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</si>
  <si>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</si>
  <si>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</si>
  <si>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</si>
  <si>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</si>
  <si>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</si>
  <si>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</si>
  <si>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</si>
  <si>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</si>
  <si>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</si>
  <si>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</si>
  <si>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</si>
  <si>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</si>
  <si>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</si>
  <si>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</si>
  <si>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</si>
  <si>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</si>
  <si>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</si>
  <si>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</si>
  <si>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</si>
  <si>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</si>
  <si>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</si>
  <si>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</si>
  <si>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</si>
  <si>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</si>
  <si>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</si>
  <si>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</si>
  <si>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</si>
  <si>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</si>
  <si>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</si>
  <si>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</si>
  <si>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</si>
  <si>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</si>
  <si>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</si>
  <si>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</si>
  <si>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</si>
  <si>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</si>
  <si>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</si>
  <si>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</si>
  <si>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</si>
  <si>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</si>
  <si>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</si>
  <si>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</si>
  <si>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</si>
  <si>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</si>
  <si>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</si>
  <si>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</si>
  <si>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</si>
  <si>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</si>
  <si>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</si>
  <si>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</si>
  <si>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</si>
  <si>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</si>
  <si>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</si>
  <si>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</si>
  <si>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</si>
  <si>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</si>
  <si>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</si>
  <si>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</si>
  <si>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</si>
  <si>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</si>
  <si>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</si>
  <si>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</si>
  <si>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</si>
  <si>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</si>
  <si>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</si>
  <si>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</si>
  <si>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</si>
  <si>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</si>
  <si>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</si>
  <si>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</si>
  <si>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</si>
  <si>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</si>
  <si>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</si>
  <si>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</si>
  <si>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</si>
  <si>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</si>
  <si>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</si>
  <si>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</si>
  <si>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</si>
  <si>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</si>
  <si>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</si>
  <si>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</si>
  <si>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</si>
  <si>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</si>
  <si>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</si>
  <si>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</si>
  <si>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</si>
  <si>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</si>
  <si>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</si>
  <si>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</si>
  <si>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</si>
  <si>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</si>
  <si>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</si>
  <si>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</si>
  <si>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</si>
  <si>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</si>
  <si>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</si>
  <si>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</si>
  <si>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</si>
  <si>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</si>
  <si>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</si>
  <si>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</si>
  <si>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</si>
  <si>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</si>
  <si>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</si>
  <si>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</si>
  <si>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</si>
  <si>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</si>
  <si>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</si>
  <si>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</si>
  <si>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</si>
  <si>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</si>
  <si>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</si>
  <si>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</si>
  <si>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</si>
  <si>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</si>
  <si>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</si>
  <si>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</si>
  <si>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</si>
  <si>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</si>
  <si>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</si>
  <si>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</si>
  <si>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</si>
  <si>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</si>
  <si>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</si>
  <si>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</si>
  <si>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</si>
  <si>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</si>
  <si>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</si>
  <si>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</si>
  <si>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</si>
  <si>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</si>
  <si>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</si>
  <si>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</si>
  <si>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</si>
  <si>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</si>
  <si>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</si>
  <si>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</si>
  <si>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</si>
  <si>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</si>
  <si>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</si>
  <si>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</si>
  <si>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</si>
  <si>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</si>
  <si>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</si>
  <si>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</si>
  <si>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</si>
  <si>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</si>
  <si>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</si>
  <si>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</si>
  <si>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</si>
  <si>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</si>
  <si>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</si>
  <si>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</si>
  <si>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</si>
  <si>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</si>
  <si>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</si>
  <si>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</si>
  <si>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</si>
  <si>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</si>
  <si>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</si>
  <si>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</si>
  <si>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</si>
  <si>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</si>
  <si>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</si>
  <si>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</si>
  <si>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</si>
  <si>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</si>
  <si>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</si>
  <si>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</si>
  <si>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</si>
  <si>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</si>
  <si>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</si>
  <si>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</si>
  <si>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</si>
  <si>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</si>
  <si>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</si>
  <si>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</si>
  <si>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</si>
  <si>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</si>
  <si>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</si>
  <si>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</si>
  <si>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</si>
  <si>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</si>
  <si>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</si>
  <si>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</si>
  <si>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</si>
  <si>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</si>
  <si>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</si>
  <si>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</si>
  <si>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</si>
  <si>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</si>
  <si>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</si>
  <si>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</si>
  <si>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</si>
  <si>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</si>
  <si>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</si>
  <si>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</si>
  <si>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</si>
  <si>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</si>
  <si>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</si>
  <si>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</si>
  <si>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</si>
  <si>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</si>
  <si>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</si>
  <si>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</si>
  <si>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</si>
  <si>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</si>
  <si>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</si>
  <si>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</si>
  <si>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</si>
  <si>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</si>
  <si>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</si>
  <si>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</si>
  <si>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</si>
  <si>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</si>
  <si>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</si>
  <si>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</si>
  <si>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</si>
  <si>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</si>
  <si>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</si>
  <si>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</si>
  <si>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</si>
  <si>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</si>
  <si>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</si>
  <si>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</si>
  <si>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</si>
  <si>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</si>
  <si>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</si>
  <si>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</si>
  <si>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</si>
  <si>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</si>
  <si>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</si>
  <si>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</si>
  <si>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</si>
  <si>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</si>
  <si>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</si>
  <si>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</si>
  <si>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</si>
  <si>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</si>
  <si>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</si>
  <si>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</si>
  <si>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</si>
  <si>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</si>
  <si>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</si>
  <si>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</si>
  <si>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</si>
  <si>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</si>
  <si>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</si>
  <si>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</si>
  <si>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</si>
  <si>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</si>
  <si>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</si>
  <si>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</si>
  <si>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</si>
  <si>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</si>
  <si>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</si>
  <si>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</si>
  <si>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</si>
  <si>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</si>
  <si>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</si>
  <si>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</si>
  <si>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</si>
  <si>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</si>
  <si>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</si>
  <si>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</si>
  <si>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</si>
  <si>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</si>
  <si>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</si>
  <si>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</si>
  <si>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</si>
  <si>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</si>
  <si>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</si>
  <si>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</si>
  <si>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</si>
  <si>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</si>
  <si>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</si>
  <si>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</si>
  <si>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</si>
  <si>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</si>
  <si>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</si>
  <si>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</si>
  <si>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</si>
  <si>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</si>
  <si>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</si>
  <si>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</si>
  <si>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</si>
  <si>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</si>
  <si>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</si>
  <si>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</si>
  <si>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</si>
  <si>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</si>
  <si>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</si>
  <si>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</si>
  <si>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</si>
  <si>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</si>
  <si>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</si>
  <si>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</si>
  <si>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</si>
  <si>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</si>
  <si>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</si>
  <si>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</si>
  <si>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</si>
  <si>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</si>
  <si>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</si>
  <si>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</si>
  <si>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</si>
  <si>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</si>
  <si>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</si>
  <si>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</si>
  <si>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</si>
  <si>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</si>
  <si>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</si>
  <si>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</si>
  <si>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</si>
  <si>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</si>
  <si>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</si>
  <si>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</si>
  <si>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</si>
  <si>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</si>
  <si>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</si>
  <si>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</si>
  <si>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</si>
  <si>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</si>
  <si>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</si>
  <si>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</si>
  <si>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</si>
  <si>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</si>
  <si>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</si>
  <si>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</si>
  <si>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</si>
  <si>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</si>
  <si>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</si>
  <si>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</si>
  <si>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</si>
  <si>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</si>
  <si>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</si>
  <si>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</si>
  <si>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</si>
  <si>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</si>
  <si>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</si>
  <si>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</si>
  <si>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</si>
  <si>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</si>
  <si>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</si>
  <si>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</si>
  <si>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</si>
  <si>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</si>
  <si>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</si>
  <si>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</si>
  <si>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</si>
  <si>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</si>
  <si>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</si>
  <si>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</si>
  <si>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</si>
  <si>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</si>
  <si>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</si>
  <si>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</si>
  <si>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</si>
  <si>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</si>
  <si>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</si>
  <si>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</si>
  <si>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</si>
  <si>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</si>
  <si>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</si>
  <si>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</si>
  <si>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</si>
  <si>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</si>
  <si>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</si>
  <si>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</si>
  <si>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</si>
  <si>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</si>
  <si>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</si>
  <si>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</si>
  <si>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</si>
  <si>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</si>
  <si>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</si>
  <si>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</si>
  <si>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</si>
  <si>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</si>
  <si>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</si>
  <si>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</si>
  <si>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</si>
  <si>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</si>
  <si>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</si>
  <si>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</si>
  <si>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</si>
  <si>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</si>
  <si>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</si>
  <si>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</si>
  <si>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</si>
  <si>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</si>
  <si>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</si>
  <si>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</si>
  <si>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</si>
  <si>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</si>
  <si>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</si>
  <si>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</si>
  <si>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</si>
  <si>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</si>
  <si>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</si>
  <si>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</si>
  <si>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</si>
  <si>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</si>
  <si>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</si>
  <si>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</si>
  <si>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</si>
  <si>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</si>
  <si>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</si>
  <si>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</si>
  <si>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</si>
  <si>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</si>
  <si>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</si>
  <si>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</si>
  <si>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</si>
  <si>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</si>
  <si>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</si>
  <si>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</si>
  <si>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</si>
  <si>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</si>
  <si>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</si>
  <si>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</si>
  <si>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</si>
  <si>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</si>
  <si>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</si>
  <si>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</si>
  <si>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</si>
  <si>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</si>
  <si>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</si>
  <si>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</si>
  <si>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</si>
  <si>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</si>
  <si>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</si>
  <si>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</si>
  <si>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</si>
  <si>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</si>
  <si>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</si>
  <si>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</si>
  <si>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</si>
  <si>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</si>
  <si>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</si>
  <si>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</si>
  <si>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</si>
  <si>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</si>
  <si>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</si>
  <si>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</si>
  <si>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</si>
  <si>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</si>
  <si>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</si>
  <si>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</si>
  <si>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</si>
  <si>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</si>
  <si>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</si>
  <si>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</si>
  <si>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</si>
  <si>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</si>
  <si>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</si>
  <si>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</si>
  <si>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</si>
  <si>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</si>
  <si>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</si>
  <si>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</si>
  <si>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</si>
  <si>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</si>
  <si>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</si>
  <si>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</si>
  <si>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</si>
  <si>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</si>
  <si>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</si>
  <si>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</si>
  <si>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</si>
  <si>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</si>
  <si>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</si>
  <si>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</si>
  <si>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</si>
  <si>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</si>
  <si>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</si>
  <si>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</si>
  <si>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</si>
  <si>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</si>
  <si>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</si>
  <si>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</si>
  <si>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</si>
  <si>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</si>
  <si>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</si>
  <si>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</si>
  <si>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</si>
  <si>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</si>
  <si>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</si>
  <si>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</si>
  <si>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</si>
  <si>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</si>
  <si>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</si>
  <si>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</si>
  <si>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</si>
  <si>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</si>
  <si>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</si>
  <si>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</si>
  <si>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</si>
  <si>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</si>
  <si>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</si>
  <si>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</si>
  <si>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</si>
  <si>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</si>
  <si>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</si>
  <si>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</si>
  <si>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</si>
  <si>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</si>
  <si>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</si>
  <si>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</si>
  <si>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</si>
  <si>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</si>
  <si>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</si>
  <si>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</si>
  <si>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</si>
  <si>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</si>
  <si>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</si>
  <si>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</si>
  <si>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</si>
  <si>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</si>
  <si>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</si>
  <si>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</si>
  <si>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</si>
  <si>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</si>
  <si>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</si>
  <si>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</si>
  <si>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</si>
  <si>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</si>
  <si>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</si>
  <si>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</si>
  <si>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</si>
  <si>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</si>
  <si>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</si>
  <si>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</si>
  <si>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</si>
  <si>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</si>
  <si>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</si>
  <si>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</si>
  <si>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</si>
  <si>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</si>
  <si>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</si>
  <si>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</si>
  <si>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</si>
  <si>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</si>
  <si>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</si>
  <si>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</si>
  <si>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</si>
  <si>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</si>
  <si>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</si>
  <si>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</si>
  <si>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</si>
  <si>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</si>
  <si>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</si>
  <si>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</si>
  <si>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</si>
  <si>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</si>
  <si>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</si>
  <si>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</si>
  <si>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</si>
  <si>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</si>
  <si>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</si>
  <si>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</si>
  <si>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</si>
  <si>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</si>
  <si>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</si>
  <si>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</si>
  <si>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</si>
  <si>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</si>
  <si>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</si>
  <si>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</si>
  <si>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</si>
  <si>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</si>
  <si>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</si>
  <si>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</si>
  <si>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</si>
  <si>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</si>
  <si>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</si>
  <si>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</si>
  <si>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</si>
  <si>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</si>
  <si>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</si>
  <si>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</si>
  <si>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</si>
  <si>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</si>
  <si>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</si>
  <si>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</si>
  <si>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</si>
  <si>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</si>
  <si>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</si>
  <si>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</si>
  <si>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</si>
  <si>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</si>
  <si>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</si>
  <si>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</si>
  <si>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</si>
  <si>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</si>
  <si>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</si>
  <si>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</si>
  <si>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</si>
  <si>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</si>
  <si>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</si>
  <si>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</si>
  <si>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</si>
  <si>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</si>
  <si>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</si>
  <si>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</si>
  <si>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</si>
  <si>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</si>
  <si>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</si>
  <si>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</si>
  <si>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</si>
  <si>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</si>
  <si>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</si>
  <si>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</si>
  <si>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</si>
  <si>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</si>
  <si>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</si>
  <si>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</si>
  <si>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</si>
  <si>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</si>
  <si>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</si>
  <si>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</si>
  <si>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</si>
  <si>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</si>
  <si>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</si>
  <si>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</si>
  <si>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</si>
  <si>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</si>
  <si>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</si>
  <si>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</si>
  <si>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</si>
  <si>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</si>
  <si>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</si>
  <si>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</si>
  <si>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</si>
  <si>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</si>
  <si>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</si>
  <si>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</si>
  <si>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</si>
  <si>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</si>
  <si>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</si>
  <si>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</si>
  <si>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</si>
  <si>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</si>
  <si>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</si>
  <si>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</si>
  <si>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</si>
  <si>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</si>
  <si>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</si>
  <si>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</si>
  <si>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</si>
  <si>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</si>
  <si>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</si>
  <si>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</si>
  <si>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</si>
  <si>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</si>
  <si>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</si>
  <si>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</si>
  <si>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</si>
  <si>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</si>
  <si>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</si>
  <si>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</si>
  <si>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</si>
  <si>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</si>
  <si>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</si>
  <si>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</si>
  <si>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</si>
  <si>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</si>
  <si>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</si>
  <si>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</si>
  <si>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</si>
  <si>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</si>
  <si>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</si>
  <si>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</si>
  <si>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</si>
  <si>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</si>
  <si>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</si>
  <si>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</si>
  <si>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</si>
  <si>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</si>
  <si>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</si>
  <si>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</si>
  <si>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</si>
  <si>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</si>
  <si>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</si>
  <si>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</si>
  <si>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</si>
  <si>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</si>
  <si>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</si>
  <si>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</si>
  <si>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</si>
  <si>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</si>
  <si>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</si>
  <si>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</si>
  <si>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</si>
  <si>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</si>
  <si>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</si>
  <si>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</si>
  <si>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</si>
  <si>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</si>
  <si>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</si>
  <si>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</si>
  <si>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</si>
  <si>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</si>
  <si>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</si>
  <si>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</si>
  <si>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</si>
  <si>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</si>
  <si>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</si>
  <si>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</si>
  <si>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</si>
  <si>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</si>
  <si>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</si>
  <si>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</si>
  <si>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</si>
  <si>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</si>
  <si>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</si>
  <si>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</si>
  <si>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</si>
  <si>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</si>
  <si>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</si>
  <si>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</si>
  <si>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</si>
  <si>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</si>
  <si>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</si>
  <si>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</si>
  <si>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</si>
  <si>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</si>
  <si>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</si>
  <si>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</si>
  <si>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</si>
  <si>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</si>
  <si>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</si>
  <si>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</si>
  <si>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</si>
  <si>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</si>
  <si>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</si>
  <si>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</si>
  <si>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</si>
  <si>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</si>
  <si>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</si>
  <si>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</si>
  <si>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</si>
  <si>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</si>
  <si>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</si>
  <si>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</si>
  <si>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</si>
  <si>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</si>
  <si>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</si>
  <si>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</si>
  <si>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</si>
  <si>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</si>
  <si>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</si>
  <si>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</si>
  <si>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</si>
  <si>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</si>
  <si>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</si>
  <si>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</si>
  <si>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</si>
  <si>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</si>
  <si>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</si>
  <si>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</si>
  <si>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</si>
  <si>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</si>
  <si>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</si>
  <si>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</si>
  <si>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</si>
  <si>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</si>
  <si>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</si>
  <si>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</si>
  <si>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</si>
  <si>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</si>
  <si>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</si>
  <si>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</si>
  <si>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</si>
  <si>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</si>
  <si>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</si>
  <si>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</si>
  <si>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</si>
  <si>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</si>
  <si>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</si>
  <si>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</si>
  <si>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</si>
  <si>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</si>
  <si>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</si>
  <si>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</si>
  <si>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</si>
  <si>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</si>
  <si>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</si>
  <si>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</si>
  <si>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</si>
  <si>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</si>
  <si>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</si>
  <si>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</si>
  <si>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</si>
  <si>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</si>
  <si>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</si>
  <si>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</si>
  <si>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</si>
  <si>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</si>
  <si>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</si>
  <si>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</si>
  <si>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</si>
  <si>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</si>
  <si>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</si>
  <si>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</si>
  <si>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</si>
  <si>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</si>
  <si>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</si>
  <si>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</si>
  <si>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</si>
  <si>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</si>
  <si>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</si>
  <si>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</si>
  <si>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</si>
  <si>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</si>
  <si>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</si>
  <si>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</si>
  <si>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</si>
  <si>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</si>
  <si>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</si>
  <si>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</si>
  <si>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</si>
  <si>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</si>
  <si>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</si>
  <si>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</si>
  <si>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</si>
  <si>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</si>
  <si>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</si>
  <si>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</si>
  <si>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</si>
  <si>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</si>
  <si>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</si>
  <si>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</si>
  <si>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</si>
  <si>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</si>
  <si>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</si>
  <si>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</si>
  <si>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</si>
  <si>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</si>
  <si>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</si>
  <si>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</si>
  <si>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</si>
  <si>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</si>
  <si>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</si>
  <si>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</si>
  <si>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</si>
  <si>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</si>
  <si>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</si>
  <si>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</si>
  <si>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</si>
  <si>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</si>
  <si>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</si>
  <si>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</si>
  <si>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</si>
  <si>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</si>
  <si>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</si>
  <si>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</si>
  <si>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</si>
  <si>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</si>
  <si>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</si>
  <si>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</si>
  <si>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</si>
  <si>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</si>
  <si>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</si>
  <si>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</si>
  <si>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</si>
  <si>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</si>
  <si>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</si>
  <si>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</si>
  <si>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</si>
  <si>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</si>
  <si>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</si>
  <si>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</si>
  <si>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</si>
  <si>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</si>
  <si>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</si>
  <si>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</si>
  <si>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</si>
  <si>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</si>
  <si>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</si>
  <si>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</si>
  <si>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</si>
  <si>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</si>
  <si>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</si>
  <si>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</si>
  <si>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</si>
  <si>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</si>
  <si>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</si>
  <si>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</si>
  <si>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</si>
  <si>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</si>
  <si>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</si>
  <si>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</si>
  <si>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</si>
  <si>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</si>
  <si>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</si>
  <si>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</si>
  <si>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</si>
  <si>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</si>
  <si>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</si>
  <si>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</si>
  <si>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</si>
  <si>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</si>
  <si>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</si>
  <si>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</si>
  <si>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</si>
  <si>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</si>
  <si>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</si>
  <si>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</si>
  <si>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</si>
  <si>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</si>
  <si>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</si>
  <si>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</si>
  <si>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</si>
  <si>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</si>
  <si>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</si>
  <si>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</si>
  <si>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</si>
  <si>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</si>
  <si>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</si>
  <si>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</si>
  <si>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</si>
  <si>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</si>
  <si>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</si>
  <si>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</si>
  <si>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</si>
  <si>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</si>
  <si>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</si>
  <si>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</si>
  <si>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</si>
  <si>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</si>
  <si>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</si>
  <si>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</si>
  <si>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</si>
  <si>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</si>
  <si>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</si>
  <si>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</si>
  <si>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</si>
  <si>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</si>
  <si>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</si>
  <si>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</si>
  <si>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</si>
  <si>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</si>
  <si>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</si>
  <si>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</si>
  <si>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</si>
  <si>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</si>
  <si>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</si>
  <si>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</si>
  <si>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</si>
  <si>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</si>
  <si>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</si>
  <si>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</si>
  <si>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</si>
  <si>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</si>
  <si>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</si>
  <si>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</si>
  <si>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</si>
  <si>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</si>
  <si>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</si>
  <si>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</si>
  <si>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</si>
  <si>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</si>
  <si>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</si>
  <si>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</si>
  <si>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</si>
  <si>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</si>
  <si>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</si>
  <si>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</si>
  <si>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</si>
  <si>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Loyatly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</si>
</sst>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applyAlignment="1"/>
    <xf numFmtId="167" fontId="0" fillId="0" borderId="0" xfId="0" applyNumberFormat="1"/>
    <xf numFmtId="0" fontId="0" fillId="0" borderId="0" xfId="0" pivotButton="1"/>
    <xf numFmtId="165" fontId="0" fillId="0" borderId="0" xfId="0" applyNumberFormat="1"/>
    <xf numFmtId="0" fontId="0" fillId="0" borderId="0" xfId="0" applyNumberFormat="1"/>
    <xf numFmtId="3" fontId="0" fillId="0" borderId="0" xfId="0" applyNumberFormat="1"/>
    <xf numFmtId="168" fontId="0" fillId="0" borderId="0" xfId="0" applyNumberFormat="1"/>
  </cellXfs>
  <cellStyles count="1">
    <cellStyle name="Normal" xfId="0" builtinId="0"/>
  </cellStyles>
  <dxfs count="15">
    <dxf>
      <numFmt numFmtId="167" formatCode="_([$$-409]* #,##0.00_);_([$$-409]* \(#,##0.00\);_([$$-409]* &quot;-&quot;??_);_(@_)"/>
    </dxf>
    <dxf>
      <numFmt numFmtId="167" formatCode="_([$$-409]* #,##0.00_);_([$$-409]* \(#,##0.00\);_([$$-409]* &quot;-&quot;??_);_(@_)"/>
    </dxf>
    <dxf>
      <numFmt numFmtId="166" formatCode="0.0&quot;kg&quot;"/>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name val="Calibri"/>
        <family val="2"/>
        <scheme val="minor"/>
      </font>
      <fill>
        <patternFill>
          <bgColor theme="9" tint="0.39994506668294322"/>
        </patternFill>
      </fill>
    </dxf>
    <dxf>
      <fill>
        <patternFill>
          <bgColor theme="9" tint="-0.499984740745262"/>
        </patternFill>
      </fill>
    </dxf>
    <dxf>
      <font>
        <b/>
        <i val="0"/>
        <sz val="11"/>
        <color theme="9" tint="0.39994506668294322"/>
        <name val="Calibri"/>
        <family val="2"/>
        <scheme val="minor"/>
      </font>
      <fill>
        <patternFill>
          <bgColor theme="9" tint="-0.499984740745262"/>
        </patternFill>
      </fill>
      <border>
        <left style="thin">
          <color auto="1"/>
        </left>
        <right style="thin">
          <color auto="1"/>
        </right>
        <top style="thin">
          <color auto="1"/>
        </top>
        <bottom style="thin">
          <color auto="1"/>
        </bottom>
      </border>
    </dxf>
    <dxf>
      <font>
        <b val="0"/>
        <i val="0"/>
        <sz val="11"/>
        <color theme="9" tint="0.39994506668294322"/>
        <name val="Calibri"/>
        <family val="2"/>
        <scheme val="minor"/>
      </font>
      <fill>
        <patternFill patternType="solid">
          <fgColor theme="0"/>
          <bgColor theme="9"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green" pivot="0" table="0" count="9" xr9:uid="{BA5A0993-4E54-441D-A387-BF35EBADB346}">
      <tableStyleElement type="wholeTable" dxfId="14"/>
      <tableStyleElement type="headerRow" dxfId="13"/>
    </tableStyle>
    <tableStyle name="Slicer Style 1" pivot="0" table="0" count="6" xr9:uid="{4AC14AB0-0E14-4608-9345-31CF37E64C29}">
      <tableStyleElement type="wholeTable" dxfId="12"/>
      <tableStyleElement type="headerRow" dxfId="11"/>
    </tableStyle>
  </tableStyles>
  <colors>
    <mruColors>
      <color rgb="FF6AA343"/>
      <color rgb="FF649B3F"/>
    </mruColors>
  </colors>
  <extLst>
    <ext xmlns:x14="http://schemas.microsoft.com/office/spreadsheetml/2009/9/main" uri="{46F421CA-312F-682f-3DD2-61675219B42D}">
      <x14:dxfs count="4">
        <dxf>
          <font>
            <b val="0"/>
            <i val="0"/>
            <color theme="9" tint="0.59996337778862885"/>
            <name val="Calibri"/>
            <family val="2"/>
            <scheme val="minor"/>
          </font>
          <border>
            <left style="thin">
              <color auto="1"/>
            </left>
            <right style="thin">
              <color auto="1"/>
            </right>
            <top style="thin">
              <color auto="1"/>
            </top>
            <bottom style="thin">
              <color auto="1"/>
            </bottom>
          </border>
        </dxf>
        <dxf>
          <font>
            <b/>
            <i val="0"/>
            <color theme="9" tint="0.39991454817346722"/>
            <name val="Calibri"/>
            <family val="2"/>
            <scheme val="minor"/>
          </font>
          <fill>
            <patternFill>
              <bgColor theme="9" tint="-0.24994659260841701"/>
            </patternFill>
          </fill>
          <border>
            <left style="thin">
              <color auto="1"/>
            </left>
            <right style="thin">
              <color auto="1"/>
            </right>
            <top style="thin">
              <color auto="1"/>
            </top>
            <bottom style="thin">
              <color auto="1"/>
            </bottom>
          </border>
        </dxf>
        <dxf>
          <font>
            <color theme="9" tint="0.39994506668294322"/>
          </font>
          <border>
            <left style="thin">
              <color auto="1"/>
            </left>
            <right style="thin">
              <color auto="1"/>
            </right>
            <top style="thin">
              <color auto="1"/>
            </top>
            <bottom style="thin">
              <color auto="1"/>
            </bottom>
          </border>
        </dxf>
        <dxf>
          <font>
            <strike/>
            <color theme="9" tint="0.39991454817346722"/>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9" tint="-0.24994659260841701"/>
            </patternFill>
          </fill>
        </dxf>
        <dxf>
          <fill>
            <patternFill patternType="solid">
              <fgColor theme="0" tint="-0.14990691854609822"/>
              <bgColor theme="0" tint="-4.9989318521683403E-2"/>
            </patternFill>
          </fill>
        </dxf>
        <dxf>
          <fill>
            <patternFill patternType="solid">
              <fgColor theme="0"/>
              <bgColor theme="9" tint="0.39994506668294322"/>
            </patternFill>
          </fill>
        </dxf>
        <dxf>
          <font>
            <sz val="9"/>
            <color theme="9" tint="0.39994506668294322"/>
            <name val="Calibri"/>
            <family val="2"/>
            <scheme val="minor"/>
          </font>
        </dxf>
        <dxf>
          <font>
            <sz val="9"/>
            <color theme="9" tint="0.39994506668294322"/>
            <name val="Calibri"/>
            <family val="2"/>
            <scheme val="minor"/>
          </font>
        </dxf>
        <dxf>
          <font>
            <sz val="9"/>
            <color theme="9" tint="0.39994506668294322"/>
            <name val="Calibri"/>
            <family val="2"/>
            <scheme val="minor"/>
          </font>
        </dxf>
        <dxf>
          <font>
            <sz val="10"/>
            <color theme="9" tint="0.39994506668294322"/>
            <name val="Calibri"/>
            <family val="2"/>
            <scheme val="minor"/>
          </font>
        </dxf>
      </x15:dxfs>
    </ext>
    <ext xmlns:x15="http://schemas.microsoft.com/office/spreadsheetml/2010/11/main" uri="{9260A510-F301-46a8-8635-F512D64BE5F5}">
      <x15:timelineStyles defaultTimelineStyle="green">
        <x15:timelineStyle name="green">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[Coffee_Sales_Dasboad.xlsx.xlsx]TatalSales!TotalSales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a:t>
            </a:r>
            <a:r>
              <a:rPr lang="en-US" baseline="0"/>
              <a:t> Time</a:t>
            </a:r>
            <a:endParaRPr lang="en-US"/>
          </a:p>
        </c:rich>
      </c:tx>
      <c:layout>
        <c:manualLayout>
          <c:xMode val="edge"/>
          <c:yMode val="edge"/>
          <c:x val="0.39199149298580577"/>
          <c:y val="1.5186028853454821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rgbClr val="649B3F"/>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rgbClr val="649B3F"/>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49B3F"/>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27038557761554"/>
          <c:y val="9.5957766099283151E-2"/>
          <c:w val="0.70408573928258955"/>
          <c:h val="0.71041411490230388"/>
        </c:manualLayout>
      </c:layout>
      <c:lineChart>
        <c:grouping val="standard"/>
        <c:varyColors val="0"/>
        <c:ser>
          <c:idx val="0"/>
          <c:order val="0"/>
          <c:tx>
            <c:strRef>
              <c:f>TatalSales!$C$3:$C$4</c:f>
              <c:strCache>
                <c:ptCount val="1"/>
                <c:pt idx="0">
                  <c:v>Arabica</c:v>
                </c:pt>
              </c:strCache>
            </c:strRef>
          </c:tx>
          <c:spPr>
            <a:ln w="28575" cap="rnd">
              <a:solidFill>
                <a:srgbClr val="649B3F"/>
              </a:solidFill>
              <a:round/>
            </a:ln>
            <a:effectLst/>
          </c:spPr>
          <c:marker>
            <c:symbol val="circle"/>
            <c:size val="5"/>
            <c:spPr>
              <a:solidFill>
                <a:schemeClr val="accent6"/>
              </a:solidFill>
              <a:ln w="9525">
                <a:solidFill>
                  <a:schemeClr val="accent6"/>
                </a:solidFill>
              </a:ln>
              <a:effectLst/>
            </c:spPr>
          </c:marker>
          <c:cat>
            <c:multiLvlStrRef>
              <c:f>TatalSales!$A$5:$B$48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TatalSales!$C$5:$C$48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DCA0-4C23-8A3B-D64068B48463}"/>
            </c:ext>
          </c:extLst>
        </c:ser>
        <c:ser>
          <c:idx val="1"/>
          <c:order val="1"/>
          <c:tx>
            <c:strRef>
              <c:f>TatalSales!$D$3:$D$4</c:f>
              <c:strCache>
                <c:ptCount val="1"/>
                <c:pt idx="0">
                  <c:v>Excelsa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TatalSales!$A$5:$B$48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TatalSales!$D$5:$D$48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DCA0-4C23-8A3B-D64068B48463}"/>
            </c:ext>
          </c:extLst>
        </c:ser>
        <c:ser>
          <c:idx val="2"/>
          <c:order val="2"/>
          <c:tx>
            <c:strRef>
              <c:f>TatalSales!$E$3:$E$4</c:f>
              <c:strCache>
                <c:ptCount val="1"/>
                <c:pt idx="0">
                  <c:v>Liberica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TatalSales!$A$5:$B$48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TatalSales!$E$5:$E$48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DCA0-4C23-8A3B-D64068B48463}"/>
            </c:ext>
          </c:extLst>
        </c:ser>
        <c:ser>
          <c:idx val="3"/>
          <c:order val="3"/>
          <c:tx>
            <c:strRef>
              <c:f>TatalSales!$F$3:$F$4</c:f>
              <c:strCache>
                <c:ptCount val="1"/>
                <c:pt idx="0">
                  <c:v>Robusta</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multiLvlStrRef>
              <c:f>TatalSales!$A$5:$B$48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TatalSales!$F$5:$F$48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DCA0-4C23-8A3B-D64068B48463}"/>
            </c:ext>
          </c:extLst>
        </c:ser>
        <c:dLbls>
          <c:showLegendKey val="0"/>
          <c:showVal val="0"/>
          <c:showCatName val="0"/>
          <c:showSerName val="0"/>
          <c:showPercent val="0"/>
          <c:showBubbleSize val="0"/>
        </c:dLbls>
        <c:marker val="1"/>
        <c:smooth val="0"/>
        <c:axId val="652942256"/>
        <c:axId val="652942584"/>
      </c:lineChart>
      <c:catAx>
        <c:axId val="65294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42584"/>
        <c:crosses val="autoZero"/>
        <c:auto val="1"/>
        <c:lblAlgn val="ctr"/>
        <c:lblOffset val="100"/>
        <c:noMultiLvlLbl val="0"/>
      </c:catAx>
      <c:valAx>
        <c:axId val="65294258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layout>
            <c:manualLayout>
              <c:xMode val="edge"/>
              <c:yMode val="edge"/>
              <c:x val="6.2696298737321993E-2"/>
              <c:y val="0.4146258691347792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94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[Coffee_Sales_Dasboad.xlsx.xlsx]SalesByCuntries!TotalSales</c:name>
    <c:fmtId val="5"/>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rgbClr val="6AA343"/>
          </a:solidFill>
          <a:ln>
            <a:noFill/>
          </a:ln>
          <a:effectLst/>
        </c:spPr>
      </c:pivotFmt>
      <c:pivotFmt>
        <c:idx val="3"/>
        <c:spPr>
          <a:solidFill>
            <a:schemeClr val="accent6">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
        <c:idx val="6"/>
        <c:spPr>
          <a:solidFill>
            <a:srgbClr val="6AA343"/>
          </a:solidFill>
          <a:ln>
            <a:noFill/>
          </a:ln>
          <a:effectLst/>
        </c:spPr>
      </c:pivotFmt>
      <c:pivotFmt>
        <c:idx val="7"/>
        <c:spPr>
          <a:solidFill>
            <a:schemeClr val="accent6">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50000"/>
            </a:schemeClr>
          </a:solidFill>
          <a:ln>
            <a:noFill/>
          </a:ln>
          <a:effectLst/>
        </c:spPr>
      </c:pivotFmt>
      <c:pivotFmt>
        <c:idx val="10"/>
        <c:spPr>
          <a:solidFill>
            <a:srgbClr val="6AA343"/>
          </a:solidFill>
          <a:ln>
            <a:noFill/>
          </a:ln>
          <a:effectLst/>
        </c:spPr>
      </c:pivotFmt>
      <c:pivotFmt>
        <c:idx val="11"/>
        <c:spPr>
          <a:solidFill>
            <a:schemeClr val="accent6">
              <a:lumMod val="60000"/>
              <a:lumOff val="40000"/>
            </a:schemeClr>
          </a:solidFill>
          <a:ln>
            <a:noFill/>
          </a:ln>
          <a:effectLst/>
        </c:spPr>
      </c:pivotFmt>
    </c:pivotFmts>
    <c:plotArea>
      <c:layout/>
      <c:barChart>
        <c:barDir val="bar"/>
        <c:grouping val="clustered"/>
        <c:varyColors val="0"/>
        <c:ser>
          <c:idx val="0"/>
          <c:order val="0"/>
          <c:tx>
            <c:strRef>
              <c:f>SalesByCuntries!$B$3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EE35-4E4D-ADFE-FB99E06DE86E}"/>
              </c:ext>
            </c:extLst>
          </c:dPt>
          <c:dPt>
            <c:idx val="1"/>
            <c:invertIfNegative val="0"/>
            <c:bubble3D val="0"/>
            <c:spPr>
              <a:solidFill>
                <a:srgbClr val="6AA343"/>
              </a:solidFill>
              <a:ln>
                <a:noFill/>
              </a:ln>
              <a:effectLst/>
            </c:spPr>
            <c:extLst>
              <c:ext xmlns:c16="http://schemas.microsoft.com/office/drawing/2014/chart" uri="{C3380CC4-5D6E-409C-BE32-E72D297353CC}">
                <c16:uniqueId val="{00000003-EE35-4E4D-ADFE-FB99E06DE86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EE35-4E4D-ADFE-FB99E06DE86E}"/>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SalesByCuntries!$A$4:$A$6</c:f>
              <c:strCache>
                <c:ptCount val="3"/>
                <c:pt idx="0">
                  <c:v>United Kingdom</c:v>
                </c:pt>
                <c:pt idx="1">
                  <c:v>Ireland</c:v>
                </c:pt>
                <c:pt idx="2">
                  <c:v>United States</c:v>
                </c:pt>
              </c:strCache>
            </c:strRef>
          </c:cat>
          <c:val>
            <c:numRef>
              <c:f>SalesByCuntries!$B$4:$B$6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E35-4E4D-ADFE-FB99E06DE86E}"/>
            </c:ext>
          </c:extLst>
        </c:ser>
        <c:dLbls>
          <c:showLegendKey val="0"/>
          <c:showVal val="0"/>
          <c:showCatName val="0"/>
          <c:showSerName val="0"/>
          <c:showPercent val="0"/>
          <c:showBubbleSize val="0"/>
        </c:dLbls>
        <c:gapWidth val="182"/>
        <c:axId val="773586320"/>
        <c:axId val="773588288"/>
      </c:barChart>
      <c:catAx>
        <c:axId val="77358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773588288"/>
        <c:crosses val="autoZero"/>
        <c:auto val="1"/>
        <c:lblAlgn val="ctr"/>
        <c:lblOffset val="100"/>
        <c:noMultiLvlLbl val="0"/>
      </c:catAx>
      <c:valAx>
        <c:axId val="7735882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77358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[Coffee_Sales_Dasboad.xlsx.xlsx]Top5CUstomers!TotalSales</c:name>
    <c:fmtId val="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pivotFmt>
      <c:pivotFmt>
        <c:idx val="2"/>
        <c:spPr>
          <a:solidFill>
            <a:srgbClr val="6AA343"/>
          </a:solidFill>
          <a:ln>
            <a:noFill/>
          </a:ln>
          <a:effectLst/>
        </c:spPr>
      </c:pivotFmt>
      <c:pivotFmt>
        <c:idx val="3"/>
        <c:spPr>
          <a:solidFill>
            <a:schemeClr val="accent6">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
        <c:idx val="6"/>
        <c:spPr>
          <a:solidFill>
            <a:srgbClr val="6AA343"/>
          </a:solidFill>
          <a:ln>
            <a:noFill/>
          </a:ln>
          <a:effectLst/>
        </c:spPr>
      </c:pivotFmt>
      <c:pivotFmt>
        <c:idx val="7"/>
        <c:spPr>
          <a:solidFill>
            <a:schemeClr val="accent6">
              <a:lumMod val="60000"/>
              <a:lumOff val="4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solidFill>
            <a:ln>
              <a:noFill/>
            </a:ln>
            <a:effectLst/>
          </c:spPr>
          <c:invertIfNegative val="0"/>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385C-465C-B18E-92558474E9E6}"/>
            </c:ext>
          </c:extLst>
        </c:ser>
        <c:dLbls>
          <c:showLegendKey val="0"/>
          <c:showVal val="0"/>
          <c:showCatName val="0"/>
          <c:showSerName val="0"/>
          <c:showPercent val="0"/>
          <c:showBubbleSize val="0"/>
        </c:dLbls>
        <c:gapWidth val="182"/>
        <c:axId val="773586320"/>
        <c:axId val="773588288"/>
      </c:barChart>
      <c:catAx>
        <c:axId val="77358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773588288"/>
        <c:crosses val="autoZero"/>
        <c:auto val="1"/>
        <c:lblAlgn val="ctr"/>
        <c:lblOffset val="100"/>
        <c:noMultiLvlLbl val="0"/>
      </c:catAx>
      <c:valAx>
        <c:axId val="773588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773586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9524</xdr:rowOff>
    </xdr:from>
    <xdr:to>
      <xdr:col>26</xdr:col>
      <xdr:colOff>0</xdr:colOff>
      <xdr:row>4</xdr:row>
      <xdr:rowOff>190499</xdr:rowOff>
    </xdr:to>
    <xdr:sp macro="" textlink="">
      <xdr:nvSpPr>
        <xdr:cNvPr id="2" name="Rectangle 1">
          <a:extLst>
            <a:ext uri="{FF2B5EF4-FFF2-40B4-BE49-F238E27FC236}">
              <a16:creationId xmlns:a16="http://schemas.microsoft.com/office/drawing/2014/main" id="{FBFAF727-5886-4CA4-B0F3-445F45351557}"/>
            </a:ext>
          </a:extLst>
        </xdr:cNvPr>
        <xdr:cNvSpPr/>
      </xdr:nvSpPr>
      <xdr:spPr>
        <a:xfrm>
          <a:off x="114300" y="66674"/>
          <a:ext cx="15240000" cy="752475"/>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6">
                  <a:lumMod val="60000"/>
                  <a:lumOff val="40000"/>
                </a:schemeClr>
              </a:solidFill>
              <a:latin typeface="Book Antiqua" panose="02040602050305030304" pitchFamily="18" charset="0"/>
            </a:rPr>
            <a:t>COFFEE SALES DASHBOARD</a:t>
          </a:r>
        </a:p>
      </xdr:txBody>
    </xdr:sp>
    <xdr:clientData/>
  </xdr:twoCellAnchor>
  <xdr:twoCellAnchor editAs="oneCell">
    <xdr:from>
      <xdr:col>1</xdr:col>
      <xdr:colOff>0</xdr:colOff>
      <xdr:row>6</xdr:row>
      <xdr:rowOff>0</xdr:rowOff>
    </xdr:from>
    <xdr:to>
      <xdr:col>18</xdr:col>
      <xdr:colOff>438149</xdr:colOff>
      <xdr:row>16</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A6401040-2A93-4417-9C4E-9A0A9BF158E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1125" y="1008063"/>
              <a:ext cx="9828212" cy="180181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0</xdr:colOff>
      <xdr:row>6</xdr:row>
      <xdr:rowOff>0</xdr:rowOff>
    </xdr:from>
    <xdr:to>
      <xdr:col>22</xdr:col>
      <xdr:colOff>552450</xdr:colOff>
      <xdr:row>11</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C58A54CC-A2D7-4DC6-80A5-7F0DF013C25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17125" y="1008063"/>
              <a:ext cx="188595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11</xdr:row>
      <xdr:rowOff>57150</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3EA210F8-EB4C-4F31-B537-9B8AE157C4D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17125" y="2017713"/>
              <a:ext cx="3778250" cy="792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6</xdr:row>
      <xdr:rowOff>0</xdr:rowOff>
    </xdr:from>
    <xdr:to>
      <xdr:col>26</xdr:col>
      <xdr:colOff>0</xdr:colOff>
      <xdr:row>11</xdr:row>
      <xdr:rowOff>0</xdr:rowOff>
    </xdr:to>
    <mc:AlternateContent xmlns:mc="http://schemas.openxmlformats.org/markup-compatibility/2006" xmlns:a14="http://schemas.microsoft.com/office/drawing/2010/main">
      <mc:Choice Requires="a14">
        <xdr:graphicFrame macro="">
          <xdr:nvGraphicFramePr>
            <xdr:cNvPr id="8" name="Loyatly Card">
              <a:extLst>
                <a:ext uri="{FF2B5EF4-FFF2-40B4-BE49-F238E27FC236}">
                  <a16:creationId xmlns:a16="http://schemas.microsoft.com/office/drawing/2014/main" id="{A8E2A77B-C42A-4895-93FC-E6EF6A92C0EB}"/>
                </a:ext>
              </a:extLst>
            </xdr:cNvPr>
            <xdr:cNvGraphicFramePr/>
          </xdr:nvGraphicFramePr>
          <xdr:xfrm>
            <a:off x="0" y="0"/>
            <a:ext cx="0" cy="0"/>
          </xdr:xfrm>
          <a:graphic>
            <a:graphicData uri="http://schemas.microsoft.com/office/drawing/2010/slicer">
              <sle:slicer xmlns:sle="http://schemas.microsoft.com/office/drawing/2010/slicer" name="Loyatly Card"/>
            </a:graphicData>
          </a:graphic>
        </xdr:graphicFrame>
      </mc:Choice>
      <mc:Fallback xmlns="">
        <xdr:sp macro="" textlink="">
          <xdr:nvSpPr>
            <xdr:cNvPr id="0" name=""/>
            <xdr:cNvSpPr>
              <a:spLocks noTextEdit="1"/>
            </xdr:cNvSpPr>
          </xdr:nvSpPr>
          <xdr:spPr>
            <a:xfrm>
              <a:off x="11961813" y="1008063"/>
              <a:ext cx="1833562"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16</xdr:col>
      <xdr:colOff>0</xdr:colOff>
      <xdr:row>38</xdr:row>
      <xdr:rowOff>180975</xdr:rowOff>
    </xdr:to>
    <xdr:graphicFrame macro="">
      <xdr:nvGraphicFramePr>
        <xdr:cNvPr id="10" name="Chart 9">
          <a:extLst>
            <a:ext uri="{FF2B5EF4-FFF2-40B4-BE49-F238E27FC236}">
              <a16:creationId xmlns:a16="http://schemas.microsoft.com/office/drawing/2014/main" id="{4220CCA1-144E-4BC5-AA12-1C5946D1E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304800</xdr:colOff>
      <xdr:row>17</xdr:row>
      <xdr:rowOff>0</xdr:rowOff>
    </xdr:from>
    <xdr:to>
      <xdr:col>26</xdr:col>
      <xdr:colOff>0</xdr:colOff>
      <xdr:row>29</xdr:row>
      <xdr:rowOff>0</xdr:rowOff>
    </xdr:to>
    <xdr:graphicFrame macro="">
      <xdr:nvGraphicFramePr>
        <xdr:cNvPr id="11" name="Chart 10">
          <a:extLst>
            <a:ext uri="{FF2B5EF4-FFF2-40B4-BE49-F238E27FC236}">
              <a16:creationId xmlns:a16="http://schemas.microsoft.com/office/drawing/2014/main" id="{9A2CCF9A-302E-4545-B044-C1A7213D2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304800</xdr:colOff>
      <xdr:row>30</xdr:row>
      <xdr:rowOff>0</xdr:rowOff>
    </xdr:from>
    <xdr:to>
      <xdr:col>26</xdr:col>
      <xdr:colOff>0</xdr:colOff>
      <xdr:row>39</xdr:row>
      <xdr:rowOff>0</xdr:rowOff>
    </xdr:to>
    <xdr:graphicFrame macro="">
      <xdr:nvGraphicFramePr>
        <xdr:cNvPr id="12" name="Chart 11">
          <a:extLst>
            <a:ext uri="{FF2B5EF4-FFF2-40B4-BE49-F238E27FC236}">
              <a16:creationId xmlns:a16="http://schemas.microsoft.com/office/drawing/2014/main" id="{189F2F03-D6C4-4F13-B3CD-6E193D698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2.692056250002" createdVersion="7" refreshedVersion="7" minRefreshableVersion="3" recordCount="1000" xr:uid="{44CB5CFE-4229-4873-8866-ECC422CC5A87}">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tl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01636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0C8DDB-B95A-4C06-815A-36B2F39A96EE}" name="TotalSales"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compact="0" compactData="0" multipleFieldFilters="0" chartFormat="9">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5">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 chart="8"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2EB7FD-B240-41D6-9867-0E241C050FBF}" name="TotalSales"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compact="0" compactData="0" multipleFieldFilters="0" chartFormat="6">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sumSubtotal="1">
      <items count="4">
        <item x="1"/>
        <item x="2"/>
        <item x="0"/>
        <item t="sum"/>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2"/>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9DC5CE-6CBB-42B1-B6A7-7FE20EBF01CC}" name="TotalSales" cacheId="0" applyNumberFormats="0" applyBorderFormats="0" applyFontFormats="0" applyPatternFormats="0" applyAlignmentFormats="0" applyWidthHeightFormats="1" dataCaption="Values" updatedVersion="7" minRefreshableVersion="5" showDrill="0" useAutoFormatting="1" rowGrandTotals="0" colGrandTotals="0" itemPrintTitles="1" createdVersion="7" indent="0" compact="0" compactData="0" multipleFieldFilters="0" chartFormat="7">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1"/>
        <item x="540"/>
        <item x="884"/>
        <item x="501"/>
        <item x="805"/>
        <item x="233"/>
        <item x="254"/>
        <item x="78"/>
        <item x="880"/>
        <item x="335"/>
        <item x="395"/>
        <item x="589"/>
        <item x="369"/>
        <item x="316"/>
        <item x="732"/>
        <item x="604"/>
        <item x="401"/>
        <item x="570"/>
        <item x="135"/>
        <item x="836"/>
        <item x="632"/>
        <item x="862"/>
        <item x="332"/>
        <item x="660"/>
        <item x="407"/>
        <item x="52"/>
        <item x="885"/>
        <item x="506"/>
        <item x="318"/>
        <item x="486"/>
        <item x="350"/>
        <item x="386"/>
        <item x="255"/>
        <item x="558"/>
        <item x="206"/>
        <item x="577"/>
        <item x="468"/>
        <item x="416"/>
        <item x="646"/>
        <item x="312"/>
        <item x="24"/>
        <item x="359"/>
        <item x="248"/>
        <item x="273"/>
        <item x="693"/>
        <item x="912"/>
        <item x="89"/>
        <item x="865"/>
        <item x="718"/>
        <item x="511"/>
        <item x="482"/>
        <item x="352"/>
        <item x="188"/>
        <item x="131"/>
        <item x="542"/>
        <item x="607"/>
        <item x="458"/>
        <item x="29"/>
        <item x="717"/>
        <item x="533"/>
        <item x="588"/>
        <item x="774"/>
        <item x="305"/>
        <item x="283"/>
        <item x="172"/>
        <item x="82"/>
        <item x="334"/>
        <item x="218"/>
        <item x="495"/>
        <item x="119"/>
        <item x="477"/>
        <item x="169"/>
        <item x="25"/>
        <item x="628"/>
        <item x="413"/>
        <item x="50"/>
        <item x="299"/>
        <item x="758"/>
        <item x="685"/>
        <item x="102"/>
        <item x="620"/>
        <item x="347"/>
        <item x="315"/>
        <item x="11"/>
        <item x="563"/>
        <item x="689"/>
        <item x="257"/>
        <item x="833"/>
        <item x="377"/>
        <item x="243"/>
        <item x="227"/>
        <item x="157"/>
        <item x="187"/>
        <item x="603"/>
        <item x="709"/>
        <item x="116"/>
        <item x="654"/>
        <item x="489"/>
        <item x="448"/>
        <item x="158"/>
        <item x="53"/>
        <item x="115"/>
        <item x="424"/>
        <item x="295"/>
        <item x="780"/>
        <item x="364"/>
        <item x="302"/>
        <item x="459"/>
        <item x="785"/>
        <item x="826"/>
        <item x="215"/>
        <item x="695"/>
        <item x="420"/>
        <item x="32"/>
        <item x="342"/>
        <item x="750"/>
        <item x="250"/>
        <item x="727"/>
        <item x="656"/>
        <item x="513"/>
        <item x="537"/>
        <item x="226"/>
        <item x="65"/>
        <item x="361"/>
        <item x="609"/>
        <item x="156"/>
        <item x="75"/>
        <item x="325"/>
        <item x="652"/>
        <item x="788"/>
        <item x="649"/>
        <item x="4"/>
        <item x="566"/>
        <item x="105"/>
        <item x="703"/>
        <item x="887"/>
        <item x="821"/>
        <item x="64"/>
        <item x="160"/>
        <item x="298"/>
        <item x="672"/>
        <item x="655"/>
        <item x="23"/>
        <item x="455"/>
        <item x="817"/>
        <item x="148"/>
        <item x="189"/>
        <item x="341"/>
        <item x="704"/>
        <item x="686"/>
        <item x="219"/>
        <item x="49"/>
        <item x="891"/>
        <item x="657"/>
        <item x="824"/>
        <item x="91"/>
        <item x="374"/>
        <item x="536"/>
        <item x="504"/>
        <item x="87"/>
        <item x="93"/>
        <item x="51"/>
        <item x="441"/>
        <item x="639"/>
        <item x="238"/>
        <item x="10"/>
        <item x="794"/>
        <item x="771"/>
        <item x="427"/>
        <item x="7"/>
        <item x="402"/>
        <item x="671"/>
        <item x="130"/>
        <item x="670"/>
        <item x="870"/>
        <item x="538"/>
        <item x="436"/>
        <item x="876"/>
        <item x="15"/>
        <item x="599"/>
        <item x="713"/>
        <item x="663"/>
        <item x="423"/>
        <item x="203"/>
        <item x="534"/>
        <item x="389"/>
        <item x="531"/>
        <item x="684"/>
        <item x="789"/>
        <item x="323"/>
        <item x="516"/>
        <item x="858"/>
        <item x="493"/>
        <item x="43"/>
        <item x="414"/>
        <item x="820"/>
        <item x="430"/>
        <item x="367"/>
        <item x="491"/>
        <item x="900"/>
        <item x="118"/>
        <item x="706"/>
        <item x="796"/>
        <item x="568"/>
        <item x="141"/>
        <item x="844"/>
        <item x="311"/>
        <item x="98"/>
        <item x="418"/>
        <item x="355"/>
        <item x="214"/>
        <item x="476"/>
        <item x="532"/>
        <item x="181"/>
        <item x="801"/>
        <item x="553"/>
        <item x="40"/>
        <item x="470"/>
        <item x="284"/>
        <item x="782"/>
        <item x="100"/>
        <item x="147"/>
        <item x="838"/>
        <item x="390"/>
        <item x="819"/>
        <item x="12"/>
        <item x="261"/>
        <item x="339"/>
        <item x="292"/>
        <item x="55"/>
        <item x="16"/>
        <item x="124"/>
        <item x="136"/>
        <item x="123"/>
        <item x="406"/>
        <item x="643"/>
        <item x="449"/>
        <item x="192"/>
        <item x="804"/>
        <item x="163"/>
        <item x="39"/>
        <item x="166"/>
        <item x="760"/>
        <item x="88"/>
        <item x="888"/>
        <item x="56"/>
        <item x="791"/>
        <item x="726"/>
        <item x="320"/>
        <item x="211"/>
        <item x="613"/>
        <item x="664"/>
        <item x="911"/>
        <item x="651"/>
        <item x="667"/>
        <item x="626"/>
        <item x="336"/>
        <item x="94"/>
        <item x="358"/>
        <item x="508"/>
        <item x="404"/>
        <item x="393"/>
        <item x="586"/>
        <item x="191"/>
        <item x="574"/>
        <item x="373"/>
        <item x="185"/>
        <item x="293"/>
        <item x="518"/>
        <item x="645"/>
        <item x="475"/>
        <item x="681"/>
        <item x="61"/>
        <item x="297"/>
        <item x="447"/>
        <item x="492"/>
        <item x="266"/>
        <item x="422"/>
        <item x="768"/>
        <item x="642"/>
        <item x="249"/>
        <item x="777"/>
        <item x="199"/>
        <item x="111"/>
        <item x="26"/>
        <item x="451"/>
        <item x="879"/>
        <item x="408"/>
        <item x="779"/>
        <item x="175"/>
        <item x="244"/>
        <item x="251"/>
        <item x="421"/>
        <item x="795"/>
        <item x="846"/>
        <item x="772"/>
        <item x="161"/>
        <item x="14"/>
        <item x="196"/>
        <item x="399"/>
        <item x="837"/>
        <item x="155"/>
        <item x="623"/>
        <item x="276"/>
        <item x="859"/>
        <item x="839"/>
        <item x="106"/>
        <item x="733"/>
        <item x="234"/>
        <item x="5"/>
        <item x="400"/>
        <item x="691"/>
        <item x="710"/>
        <item x="296"/>
        <item x="70"/>
        <item x="793"/>
        <item x="602"/>
        <item x="38"/>
        <item x="852"/>
        <item x="270"/>
        <item x="601"/>
        <item x="752"/>
        <item x="814"/>
        <item x="357"/>
        <item x="708"/>
        <item x="271"/>
        <item x="592"/>
        <item x="184"/>
        <item x="580"/>
        <item x="464"/>
        <item x="103"/>
        <item x="331"/>
        <item x="906"/>
        <item x="798"/>
        <item x="908"/>
        <item x="246"/>
        <item x="397"/>
        <item x="737"/>
        <item x="465"/>
        <item x="509"/>
        <item x="855"/>
        <item x="329"/>
        <item x="362"/>
        <item x="113"/>
        <item x="530"/>
        <item x="590"/>
        <item x="481"/>
        <item x="179"/>
        <item x="512"/>
        <item x="894"/>
        <item x="683"/>
        <item x="784"/>
        <item x="267"/>
        <item x="757"/>
        <item x="232"/>
        <item x="653"/>
        <item x="730"/>
        <item x="319"/>
        <item x="83"/>
        <item x="127"/>
        <item x="72"/>
        <item x="380"/>
        <item x="903"/>
        <item x="36"/>
        <item x="699"/>
        <item x="500"/>
        <item x="13"/>
        <item x="411"/>
        <item x="309"/>
        <item x="567"/>
        <item x="571"/>
        <item x="582"/>
        <item x="811"/>
        <item x="99"/>
        <item x="229"/>
        <item x="324"/>
        <item x="674"/>
        <item x="151"/>
        <item x="137"/>
        <item x="378"/>
        <item x="360"/>
        <item x="205"/>
        <item x="767"/>
        <item x="751"/>
        <item x="403"/>
        <item x="488"/>
        <item x="237"/>
        <item x="343"/>
        <item x="617"/>
        <item x="176"/>
        <item x="832"/>
        <item x="559"/>
        <item x="627"/>
        <item x="440"/>
        <item x="281"/>
        <item x="719"/>
        <item x="398"/>
        <item x="546"/>
        <item x="213"/>
        <item x="551"/>
        <item x="494"/>
        <item x="901"/>
        <item x="744"/>
        <item x="412"/>
        <item x="769"/>
        <item x="453"/>
        <item x="415"/>
        <item x="387"/>
        <item x="810"/>
        <item x="69"/>
        <item x="182"/>
        <item x="898"/>
        <item x="499"/>
        <item x="549"/>
        <item x="815"/>
        <item x="633"/>
        <item x="208"/>
        <item x="269"/>
        <item x="515"/>
        <item x="190"/>
        <item x="457"/>
        <item x="280"/>
        <item x="450"/>
        <item x="743"/>
        <item x="168"/>
        <item x="728"/>
        <item x="46"/>
        <item x="263"/>
        <item x="480"/>
        <item x="150"/>
        <item x="761"/>
        <item x="682"/>
        <item x="854"/>
        <item x="338"/>
        <item x="725"/>
        <item x="893"/>
        <item x="437"/>
        <item x="133"/>
        <item x="714"/>
        <item x="351"/>
        <item x="327"/>
        <item x="648"/>
        <item x="557"/>
        <item x="687"/>
        <item x="873"/>
        <item x="641"/>
        <item x="882"/>
        <item x="330"/>
        <item x="144"/>
        <item x="787"/>
        <item x="636"/>
        <item x="875"/>
        <item x="544"/>
        <item x="35"/>
        <item x="612"/>
        <item x="729"/>
        <item x="630"/>
        <item x="587"/>
        <item x="545"/>
        <item x="68"/>
        <item x="910"/>
        <item x="781"/>
        <item x="79"/>
        <item x="734"/>
        <item x="245"/>
        <item x="895"/>
        <item x="253"/>
        <item x="679"/>
        <item x="853"/>
        <item x="803"/>
        <item x="353"/>
        <item x="288"/>
        <item x="773"/>
        <item x="605"/>
        <item x="715"/>
        <item x="741"/>
        <item x="1"/>
        <item x="868"/>
        <item x="675"/>
        <item x="522"/>
        <item x="140"/>
        <item x="806"/>
        <item x="365"/>
        <item x="44"/>
        <item x="841"/>
        <item x="274"/>
        <item x="101"/>
        <item x="766"/>
        <item x="173"/>
        <item x="487"/>
        <item x="242"/>
        <item x="611"/>
        <item x="20"/>
        <item x="569"/>
        <item x="45"/>
        <item x="372"/>
        <item x="108"/>
        <item x="874"/>
        <item x="90"/>
        <item x="200"/>
        <item x="502"/>
        <item x="762"/>
        <item x="34"/>
        <item x="688"/>
        <item x="308"/>
        <item x="764"/>
        <item x="496"/>
        <item x="117"/>
        <item x="143"/>
        <item x="665"/>
        <item x="905"/>
        <item x="619"/>
        <item x="528"/>
        <item x="864"/>
        <item x="442"/>
        <item x="813"/>
        <item x="765"/>
        <item x="503"/>
        <item x="471"/>
        <item x="618"/>
        <item x="692"/>
        <item x="62"/>
        <item x="517"/>
        <item x="723"/>
        <item x="384"/>
        <item x="47"/>
        <item x="842"/>
        <item x="462"/>
        <item x="382"/>
        <item x="85"/>
        <item x="77"/>
        <item x="828"/>
        <item x="576"/>
        <item x="845"/>
        <item x="872"/>
        <item x="6"/>
        <item x="834"/>
        <item x="259"/>
        <item x="565"/>
        <item x="735"/>
        <item x="145"/>
        <item x="731"/>
        <item x="368"/>
        <item x="388"/>
        <item x="792"/>
        <item x="510"/>
        <item x="443"/>
        <item x="662"/>
        <item x="371"/>
        <item x="722"/>
        <item x="349"/>
        <item x="736"/>
        <item x="848"/>
        <item x="202"/>
        <item x="871"/>
        <item x="676"/>
        <item x="467"/>
        <item x="383"/>
        <item x="659"/>
        <item x="598"/>
        <item x="138"/>
        <item x="153"/>
        <item x="139"/>
        <item x="230"/>
        <item x="863"/>
        <item x="109"/>
        <item x="63"/>
        <item x="666"/>
        <item x="581"/>
        <item x="445"/>
        <item x="28"/>
        <item x="616"/>
        <item x="375"/>
        <item x="301"/>
        <item x="547"/>
        <item x="300"/>
        <item x="621"/>
        <item x="222"/>
        <item x="385"/>
        <item x="410"/>
        <item x="194"/>
        <item x="770"/>
        <item x="452"/>
        <item x="635"/>
        <item x="696"/>
        <item x="306"/>
        <item x="264"/>
        <item x="878"/>
        <item x="370"/>
        <item x="800"/>
        <item x="146"/>
        <item x="8"/>
        <item x="697"/>
        <item x="614"/>
        <item x="690"/>
        <item x="159"/>
        <item x="337"/>
        <item x="460"/>
        <item x="381"/>
        <item x="58"/>
        <item x="579"/>
        <item x="446"/>
        <item x="867"/>
        <item x="899"/>
        <item x="30"/>
        <item x="125"/>
        <item x="850"/>
        <item x="120"/>
        <item x="291"/>
        <item x="755"/>
        <item x="165"/>
        <item x="328"/>
        <item x="484"/>
        <item x="289"/>
        <item x="756"/>
        <item x="333"/>
        <item x="317"/>
        <item x="260"/>
        <item x="183"/>
        <item x="167"/>
        <item x="97"/>
        <item x="198"/>
        <item x="555"/>
        <item x="164"/>
        <item x="524"/>
        <item x="86"/>
        <item x="209"/>
        <item x="128"/>
        <item x="313"/>
        <item x="81"/>
        <item x="356"/>
        <item x="527"/>
        <item x="638"/>
        <item x="228"/>
        <item x="485"/>
        <item x="778"/>
        <item x="869"/>
        <item x="279"/>
        <item x="583"/>
        <item x="95"/>
        <item x="9"/>
        <item x="827"/>
        <item x="152"/>
        <item x="594"/>
        <item x="698"/>
        <item x="33"/>
        <item x="278"/>
        <item x="830"/>
        <item x="712"/>
        <item x="258"/>
        <item x="647"/>
        <item x="490"/>
        <item x="256"/>
        <item x="41"/>
        <item x="303"/>
        <item x="556"/>
        <item x="526"/>
        <item x="520"/>
        <item x="272"/>
        <item x="505"/>
        <item x="851"/>
        <item x="606"/>
        <item x="114"/>
        <item x="634"/>
        <item x="889"/>
        <item x="304"/>
        <item x="434"/>
        <item x="575"/>
        <item x="469"/>
        <item x="236"/>
        <item x="223"/>
        <item x="860"/>
        <item x="786"/>
        <item x="907"/>
        <item x="669"/>
        <item x="822"/>
        <item x="631"/>
        <item x="240"/>
        <item x="593"/>
        <item x="896"/>
        <item x="231"/>
        <item x="861"/>
        <item x="326"/>
        <item x="812"/>
        <item x="134"/>
        <item x="775"/>
        <item x="640"/>
        <item x="444"/>
        <item x="825"/>
        <item x="285"/>
        <item x="740"/>
        <item x="661"/>
        <item x="831"/>
        <item x="548"/>
        <item x="543"/>
        <item x="700"/>
        <item x="707"/>
        <item x="435"/>
        <item x="197"/>
        <item x="277"/>
        <item x="461"/>
        <item x="22"/>
        <item x="668"/>
        <item x="221"/>
        <item x="591"/>
        <item x="290"/>
        <item x="346"/>
        <item x="610"/>
        <item x="54"/>
        <item x="759"/>
        <item x="529"/>
        <item x="348"/>
        <item x="345"/>
        <item x="310"/>
        <item x="572"/>
        <item x="112"/>
        <item x="808"/>
        <item x="193"/>
        <item x="216"/>
        <item x="235"/>
        <item x="749"/>
        <item x="71"/>
        <item x="539"/>
        <item x="224"/>
        <item x="241"/>
        <item x="239"/>
        <item x="73"/>
        <item x="881"/>
        <item x="314"/>
        <item x="892"/>
        <item x="802"/>
        <item x="286"/>
        <item x="902"/>
        <item x="525"/>
        <item x="154"/>
        <item x="514"/>
        <item x="478"/>
        <item x="702"/>
        <item x="21"/>
        <item x="262"/>
        <item x="2"/>
        <item x="225"/>
        <item x="721"/>
        <item x="843"/>
        <item x="897"/>
        <item x="409"/>
        <item x="886"/>
        <item x="742"/>
        <item x="596"/>
        <item x="890"/>
        <item x="204"/>
        <item x="622"/>
        <item x="847"/>
        <item x="463"/>
        <item x="479"/>
        <item x="405"/>
        <item x="746"/>
        <item x="877"/>
        <item x="849"/>
        <item x="474"/>
        <item x="818"/>
        <item x="597"/>
        <item x="615"/>
        <item x="790"/>
        <item x="909"/>
        <item x="321"/>
        <item x="275"/>
        <item x="340"/>
        <item x="584"/>
        <item x="473"/>
        <item x="535"/>
        <item x="107"/>
        <item x="426"/>
        <item x="680"/>
        <item x="220"/>
        <item x="472"/>
        <item x="716"/>
        <item x="739"/>
        <item x="754"/>
        <item x="578"/>
        <item x="268"/>
        <item x="178"/>
        <item x="76"/>
        <item x="110"/>
        <item x="391"/>
        <item x="807"/>
        <item x="748"/>
        <item x="857"/>
        <item x="519"/>
        <item x="694"/>
        <item x="96"/>
        <item x="132"/>
        <item x="738"/>
        <item x="431"/>
        <item x="122"/>
        <item x="705"/>
        <item x="835"/>
        <item x="207"/>
        <item x="809"/>
        <item x="456"/>
        <item x="550"/>
        <item x="126"/>
        <item x="816"/>
        <item x="498"/>
        <item x="560"/>
        <item x="121"/>
        <item x="104"/>
        <item x="142"/>
        <item x="564"/>
        <item x="507"/>
        <item x="217"/>
        <item x="3"/>
        <item x="724"/>
        <item x="483"/>
        <item x="573"/>
        <item x="829"/>
        <item x="287"/>
        <item x="585"/>
        <item x="376"/>
        <item x="60"/>
        <item x="212"/>
        <item x="80"/>
        <item x="797"/>
        <item x="454"/>
        <item x="629"/>
        <item x="883"/>
        <item x="783"/>
        <item x="753"/>
        <item x="823"/>
        <item x="307"/>
        <item x="162"/>
        <item x="650"/>
        <item x="644"/>
        <item x="252"/>
        <item x="856"/>
        <item x="541"/>
        <item x="678"/>
        <item x="18"/>
        <item x="66"/>
        <item x="554"/>
        <item x="17"/>
        <item x="866"/>
        <item x="379"/>
        <item x="523"/>
        <item x="92"/>
        <item x="177"/>
        <item x="354"/>
        <item x="417"/>
        <item x="701"/>
        <item x="282"/>
        <item x="595"/>
        <item x="42"/>
        <item x="48"/>
        <item x="429"/>
        <item x="247"/>
        <item x="840"/>
        <item x="419"/>
        <item x="366"/>
        <item x="195"/>
        <item x="171"/>
        <item x="608"/>
        <item x="433"/>
        <item x="57"/>
        <item x="392"/>
        <item x="19"/>
        <item x="625"/>
        <item x="174"/>
        <item x="59"/>
        <item x="562"/>
        <item x="363"/>
        <item x="673"/>
        <item x="561"/>
        <item x="210"/>
        <item x="265"/>
        <item x="497"/>
        <item x="74"/>
        <item x="322"/>
        <item x="637"/>
        <item x="428"/>
        <item x="711"/>
        <item x="396"/>
        <item x="658"/>
        <item x="0"/>
        <item x="600"/>
        <item x="745"/>
        <item x="180"/>
        <item x="552"/>
        <item x="67"/>
        <item x="677"/>
        <item x="201"/>
        <item x="466"/>
        <item x="799"/>
        <item x="149"/>
        <item x="439"/>
        <item x="747"/>
        <item x="438"/>
        <item x="294"/>
        <item x="425"/>
        <item x="624"/>
        <item x="186"/>
        <item x="27"/>
        <item x="720"/>
        <item x="763"/>
        <item x="432"/>
        <item x="84"/>
        <item x="394"/>
        <item x="776"/>
        <item x="904"/>
        <item x="170"/>
        <item x="129"/>
        <item x="37"/>
        <item x="521"/>
        <item x="344"/>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umSubtotal="1">
      <items count="4">
        <item x="1"/>
        <item x="2"/>
        <item x="0"/>
        <item t="sum"/>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2" baseField="5" baseItem="0"/>
  </dataFields>
  <chartFormats count="3">
    <chartFormat chart="4"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262F919-3734-4BCC-8BF7-7A90B3F59F21}" sourceName="Size">
  <pivotTables>
    <pivotTable tabId="18" name="TotalSales"/>
    <pivotTable tabId="19" name="TotalSales"/>
    <pivotTable tabId="21" name="TotalSales"/>
  </pivotTables>
  <data>
    <tabular pivotCacheId="160163694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A7B1EAA-1234-422A-A474-157BC29D26CC}" sourceName="Roast type name">
  <pivotTables>
    <pivotTable tabId="18" name="TotalSales"/>
    <pivotTable tabId="19" name="TotalSales"/>
    <pivotTable tabId="21" name="TotalSales"/>
  </pivotTables>
  <data>
    <tabular pivotCacheId="160163694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tly_Card" xr10:uid="{BB798204-EFA2-4911-8A8E-2F7B48E4DFE1}" sourceName="Loyatly Card">
  <pivotTables>
    <pivotTable tabId="18" name="TotalSales"/>
    <pivotTable tabId="19" name="TotalSales"/>
    <pivotTable tabId="21" name="TotalSales"/>
  </pivotTables>
  <data>
    <tabular pivotCacheId="16016369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C345F08-D893-4ABF-98F1-D53A8AED8446}" cache="Slicer_Size" caption="Size" columnCount="2" style="Slicer Style 1" rowHeight="241300"/>
  <slicer name="Roast type name" xr10:uid="{F7EADF11-49EA-41A9-AA7F-718B859BE045}" cache="Slicer_Roast_type_name" caption="Roast type name" columnCount="3" style="Slicer Style 1" rowHeight="241300"/>
  <slicer name="Loyatly Card" xr10:uid="{7055DCF3-A5A6-44FE-97EC-276094F3AAA2}" cache="Slicer_Loyatly_Card" caption="Loyatl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85E6B1-375A-48AE-8984-7599D07CDA0E}" name="orders" displayName="orders" ref="A1:P1001" totalsRowShown="0" headerRowDxfId="10">
  <autoFilter ref="A1:P1001" xr:uid="{3685E6B1-375A-48AE-8984-7599D07CDA0E}"/>
  <tableColumns count="16">
    <tableColumn id="1" xr3:uid="{59B75FC4-F398-4810-B09A-21F309319783}" name="Order ID" dataDxfId="9"/>
    <tableColumn id="2" xr3:uid="{6164258B-71CB-4B1E-8748-D6C768F5B8A7}" name="Order Date" dataDxfId="8"/>
    <tableColumn id="3" xr3:uid="{DC66D5C3-1B86-40E5-9F2E-76575E664398}" name="Customer ID" dataDxfId="7"/>
    <tableColumn id="4" xr3:uid="{33AFE982-4803-40A8-AB76-57600415F84B}" name="Product ID"/>
    <tableColumn id="5" xr3:uid="{ADD16290-333A-43DD-912B-CE72C11DBAB8}" name="Quantity" dataDxfId="6"/>
    <tableColumn id="6" xr3:uid="{2AC3ED85-2945-4CBE-892C-97299FDF4605}" name="Customer Name" dataDxfId="5">
      <calculatedColumnFormula>_xlfn.XLOOKUP(orders!C2,customers!$A$1:$A$1001,customers!$B$1:$B$1001,,0)</calculatedColumnFormula>
    </tableColumn>
    <tableColumn id="7" xr3:uid="{017D5206-75AD-4B58-B58A-E9FA56FC8DAA}" name="Email" dataDxfId="4">
      <calculatedColumnFormula>IF(_xlfn.XLOOKUP(orders!C2,customers!$A$1:$A$1001,customers!$C$1:$C$1001,,0)=0,"",_xlfn.XLOOKUP(orders!C2,customers!$A$1:$A$1001,customers!$C$1:$C$1001,,0))</calculatedColumnFormula>
    </tableColumn>
    <tableColumn id="8" xr3:uid="{6C408918-2F71-4117-AFF4-C162AD63B37C}" name="Country" dataDxfId="3">
      <calculatedColumnFormula>_xlfn.XLOOKUP(C2,customers!$A$1:$A$1001,customers!$G$1:$G$1001,,0)</calculatedColumnFormula>
    </tableColumn>
    <tableColumn id="9" xr3:uid="{9CC63EEB-5F34-48C4-BE65-A6DFC987421B}" name="Coffee Type">
      <calculatedColumnFormula>INDEX(products!$A$1:$G$49,MATCH(orders!$D2,products!$A$1:$A$49,0),MATCH(orders!I$1,products!$A$1:$G$1,0))</calculatedColumnFormula>
    </tableColumn>
    <tableColumn id="10" xr3:uid="{82C48955-D5A4-4700-BB5D-5E4B4CF6F795}" name="Roast Type">
      <calculatedColumnFormula>INDEX(products!$A$1:$G$49,MATCH(orders!$D2,products!$A$1:$A$49,0),MATCH(orders!J$1,products!$A$1:$G$1,0))</calculatedColumnFormula>
    </tableColumn>
    <tableColumn id="11" xr3:uid="{8D8DA763-6D79-45A9-BE47-FE47A7190E1D}" name="Size" dataDxfId="2">
      <calculatedColumnFormula>INDEX(products!$A$1:$G$49,MATCH(orders!$D2,products!$A$1:$A$49,0),MATCH(orders!K$1,products!$A$1:$G$1,0))</calculatedColumnFormula>
    </tableColumn>
    <tableColumn id="12" xr3:uid="{EA4EA1D1-F611-437A-B299-78A5B3653BE6}" name="Unit Price" dataDxfId="1">
      <calculatedColumnFormula>INDEX(products!$A$1:$G$49,MATCH(orders!$D2,products!$A$1:$A$49,0),MATCH(orders!L$1,products!$A$1:$G$1,0))</calculatedColumnFormula>
    </tableColumn>
    <tableColumn id="13" xr3:uid="{66B6EF86-6D99-41ED-84B0-277AC17DBFA9}" name="Sales" dataDxfId="0">
      <calculatedColumnFormula>L2*E2</calculatedColumnFormula>
    </tableColumn>
    <tableColumn id="14" xr3:uid="{404186D4-A08B-4C27-BB91-A42381D18C15}" name="Coffee type name">
      <calculatedColumnFormula>IF(I2="Rob","Robusta",IF(I2="Exc","Excelsa",IF(I2="Ara","Arabica",IF(I2="Lib","Liberica"))))</calculatedColumnFormula>
    </tableColumn>
    <tableColumn id="15" xr3:uid="{1FC02FF9-4749-4327-B152-DD70CA5EF1ED}" name="Roast type name">
      <calculatedColumnFormula>IF(J2="M","Medium",IF(J2= "L", "Light",IF(J2="D", "Dark","")))</calculatedColumnFormula>
    </tableColumn>
    <tableColumn id="16" xr3:uid="{6E7BEED3-7B1A-4A03-9C16-9329C1177D32}" name="Loyatly Card">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7CD1FF2-EFC5-4ACD-A3B1-0F6899B5506E}" sourceName="Order Date">
  <pivotTables>
    <pivotTable tabId="18" name="TotalSales"/>
    <pivotTable tabId="19" name="TotalSales"/>
    <pivotTable tabId="21" name="TotalSales"/>
  </pivotTables>
  <state minimalRefreshVersion="6" lastRefreshVersion="6" pivotCacheId="160163694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94AEE8B-6013-4535-B7F5-8670568F860B}" cache="NativeTimeline_Order_Date" caption="Order Date" level="2" selectionLevel="2" scrollPosition="2020-05-2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0ED1-F289-4DB7-9316-96C0955C7A89}">
  <dimension ref="A1:A30"/>
  <sheetViews>
    <sheetView showGridLines="0" showRowColHeaders="0" tabSelected="1" zoomScale="110" zoomScaleNormal="110" workbookViewId="0">
      <selection activeCell="A6" sqref="A6"/>
    </sheetView>
  </sheetViews>
  <sheetFormatPr defaultRowHeight="15" x14ac:dyDescent="0.25"/>
  <cols>
    <col min="1" max="1" width="1.7109375" customWidth="1"/>
    <col min="17" max="18" width="1.7109375" customWidth="1"/>
    <col min="19" max="19" width="7.7109375" customWidth="1"/>
    <col min="22" max="22" width="1.7109375" customWidth="1"/>
  </cols>
  <sheetData>
    <row r="1" ht="5.0999999999999996" customHeight="1" x14ac:dyDescent="0.25"/>
    <row r="12" ht="6.95" customHeight="1" x14ac:dyDescent="0.25"/>
    <row r="17" ht="6.95" customHeight="1" x14ac:dyDescent="0.25"/>
    <row r="30" ht="6.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A0CE7-B810-4B89-9ABE-C2398E240A97}">
  <dimension ref="A3:F48"/>
  <sheetViews>
    <sheetView workbookViewId="0">
      <selection activeCell="K32" sqref="K32"/>
    </sheetView>
  </sheetViews>
  <sheetFormatPr defaultRowHeight="15" x14ac:dyDescent="0.25"/>
  <cols>
    <col min="1" max="1" width="13.140625" bestFit="1" customWidth="1"/>
    <col min="2" max="2" width="13" bestFit="1" customWidth="1"/>
    <col min="3" max="3" width="19.28515625" bestFit="1" customWidth="1"/>
    <col min="4" max="4" width="7.42578125" bestFit="1" customWidth="1"/>
    <col min="5" max="5" width="7.85546875" bestFit="1" customWidth="1"/>
    <col min="6" max="6" width="8.140625" bestFit="1" customWidth="1"/>
  </cols>
  <sheetData>
    <row r="3" spans="1:6" x14ac:dyDescent="0.25">
      <c r="A3" s="6" t="s">
        <v>6219</v>
      </c>
      <c r="C3" s="6" t="s">
        <v>6196</v>
      </c>
    </row>
    <row r="4" spans="1:6" x14ac:dyDescent="0.25">
      <c r="A4" s="6" t="s">
        <v>6214</v>
      </c>
      <c r="B4" s="6" t="s">
        <v>1</v>
      </c>
      <c r="C4" t="s">
        <v>6215</v>
      </c>
      <c r="D4" t="s">
        <v>6216</v>
      </c>
      <c r="E4" t="s">
        <v>6217</v>
      </c>
      <c r="F4" t="s">
        <v>6218</v>
      </c>
    </row>
    <row r="5" spans="1:6" x14ac:dyDescent="0.25">
      <c r="A5" t="s">
        <v>6198</v>
      </c>
      <c r="B5" s="7" t="s">
        <v>6199</v>
      </c>
      <c r="C5" s="9">
        <v>186.85499999999999</v>
      </c>
      <c r="D5" s="9">
        <v>305.97000000000003</v>
      </c>
      <c r="E5" s="9">
        <v>213.15999999999997</v>
      </c>
      <c r="F5" s="9">
        <v>123</v>
      </c>
    </row>
    <row r="6" spans="1:6" x14ac:dyDescent="0.25">
      <c r="B6" s="7" t="s">
        <v>6200</v>
      </c>
      <c r="C6" s="9">
        <v>251.96499999999997</v>
      </c>
      <c r="D6" s="9">
        <v>129.46</v>
      </c>
      <c r="E6" s="9">
        <v>434.03999999999996</v>
      </c>
      <c r="F6" s="9">
        <v>171.93999999999997</v>
      </c>
    </row>
    <row r="7" spans="1:6" x14ac:dyDescent="0.25">
      <c r="B7" s="7" t="s">
        <v>6201</v>
      </c>
      <c r="C7" s="9">
        <v>224.94499999999999</v>
      </c>
      <c r="D7" s="9">
        <v>349.12</v>
      </c>
      <c r="E7" s="9">
        <v>321.04000000000002</v>
      </c>
      <c r="F7" s="9">
        <v>126.035</v>
      </c>
    </row>
    <row r="8" spans="1:6" x14ac:dyDescent="0.25">
      <c r="B8" s="7" t="s">
        <v>6202</v>
      </c>
      <c r="C8" s="9">
        <v>307.12</v>
      </c>
      <c r="D8" s="9">
        <v>681.07499999999993</v>
      </c>
      <c r="E8" s="9">
        <v>533.70499999999993</v>
      </c>
      <c r="F8" s="9">
        <v>158.85</v>
      </c>
    </row>
    <row r="9" spans="1:6" x14ac:dyDescent="0.25">
      <c r="B9" s="7" t="s">
        <v>6203</v>
      </c>
      <c r="C9" s="9">
        <v>53.664999999999992</v>
      </c>
      <c r="D9" s="9">
        <v>83.025000000000006</v>
      </c>
      <c r="E9" s="9">
        <v>193.83499999999998</v>
      </c>
      <c r="F9" s="9">
        <v>68.039999999999992</v>
      </c>
    </row>
    <row r="10" spans="1:6" x14ac:dyDescent="0.25">
      <c r="B10" s="7" t="s">
        <v>6204</v>
      </c>
      <c r="C10" s="9">
        <v>163.01999999999998</v>
      </c>
      <c r="D10" s="9">
        <v>678.3599999999999</v>
      </c>
      <c r="E10" s="9">
        <v>171.04500000000002</v>
      </c>
      <c r="F10" s="9">
        <v>372.255</v>
      </c>
    </row>
    <row r="11" spans="1:6" x14ac:dyDescent="0.25">
      <c r="B11" s="7" t="s">
        <v>6205</v>
      </c>
      <c r="C11" s="9">
        <v>345.02</v>
      </c>
      <c r="D11" s="9">
        <v>273.86999999999995</v>
      </c>
      <c r="E11" s="9">
        <v>184.12999999999997</v>
      </c>
      <c r="F11" s="9">
        <v>201.11499999999998</v>
      </c>
    </row>
    <row r="12" spans="1:6" x14ac:dyDescent="0.25">
      <c r="B12" s="7" t="s">
        <v>6206</v>
      </c>
      <c r="C12" s="9">
        <v>334.89</v>
      </c>
      <c r="D12" s="9">
        <v>70.95</v>
      </c>
      <c r="E12" s="9">
        <v>134.23000000000002</v>
      </c>
      <c r="F12" s="9">
        <v>166.27499999999998</v>
      </c>
    </row>
    <row r="13" spans="1:6" x14ac:dyDescent="0.25">
      <c r="B13" s="7" t="s">
        <v>6207</v>
      </c>
      <c r="C13" s="9">
        <v>178.70999999999998</v>
      </c>
      <c r="D13" s="9">
        <v>166.1</v>
      </c>
      <c r="E13" s="9">
        <v>439.30999999999995</v>
      </c>
      <c r="F13" s="9">
        <v>492.9</v>
      </c>
    </row>
    <row r="14" spans="1:6" x14ac:dyDescent="0.25">
      <c r="B14" s="7" t="s">
        <v>6208</v>
      </c>
      <c r="C14" s="9">
        <v>301.98500000000001</v>
      </c>
      <c r="D14" s="9">
        <v>153.76499999999999</v>
      </c>
      <c r="E14" s="9">
        <v>215.55499999999998</v>
      </c>
      <c r="F14" s="9">
        <v>213.66499999999999</v>
      </c>
    </row>
    <row r="15" spans="1:6" x14ac:dyDescent="0.25">
      <c r="B15" s="7" t="s">
        <v>6209</v>
      </c>
      <c r="C15" s="9">
        <v>312.83499999999998</v>
      </c>
      <c r="D15" s="9">
        <v>63.249999999999993</v>
      </c>
      <c r="E15" s="9">
        <v>350.89500000000004</v>
      </c>
      <c r="F15" s="9">
        <v>96.405000000000001</v>
      </c>
    </row>
    <row r="16" spans="1:6" x14ac:dyDescent="0.25">
      <c r="B16" s="7" t="s">
        <v>6210</v>
      </c>
      <c r="C16" s="9">
        <v>265.62</v>
      </c>
      <c r="D16" s="9">
        <v>526.51499999999987</v>
      </c>
      <c r="E16" s="9">
        <v>187.06</v>
      </c>
      <c r="F16" s="9">
        <v>210.58999999999997</v>
      </c>
    </row>
    <row r="17" spans="1:6" x14ac:dyDescent="0.25">
      <c r="A17" t="s">
        <v>6211</v>
      </c>
      <c r="B17" s="7" t="s">
        <v>6199</v>
      </c>
      <c r="C17" s="9">
        <v>47.25</v>
      </c>
      <c r="D17" s="9">
        <v>65.805000000000007</v>
      </c>
      <c r="E17" s="9">
        <v>274.67500000000001</v>
      </c>
      <c r="F17" s="9">
        <v>179.22</v>
      </c>
    </row>
    <row r="18" spans="1:6" x14ac:dyDescent="0.25">
      <c r="B18" s="7" t="s">
        <v>6200</v>
      </c>
      <c r="C18" s="9">
        <v>745.44999999999993</v>
      </c>
      <c r="D18" s="9">
        <v>428.88499999999999</v>
      </c>
      <c r="E18" s="9">
        <v>194.17499999999998</v>
      </c>
      <c r="F18" s="9">
        <v>429.82999999999993</v>
      </c>
    </row>
    <row r="19" spans="1:6" x14ac:dyDescent="0.25">
      <c r="B19" s="7" t="s">
        <v>6201</v>
      </c>
      <c r="C19" s="9">
        <v>130.47</v>
      </c>
      <c r="D19" s="9">
        <v>271.48500000000001</v>
      </c>
      <c r="E19" s="9">
        <v>281.20499999999998</v>
      </c>
      <c r="F19" s="9">
        <v>231.63000000000002</v>
      </c>
    </row>
    <row r="20" spans="1:6" x14ac:dyDescent="0.25">
      <c r="B20" s="7" t="s">
        <v>6202</v>
      </c>
      <c r="C20" s="9">
        <v>27</v>
      </c>
      <c r="D20" s="9">
        <v>347.26</v>
      </c>
      <c r="E20" s="9">
        <v>147.51</v>
      </c>
      <c r="F20" s="9">
        <v>240.04</v>
      </c>
    </row>
    <row r="21" spans="1:6" x14ac:dyDescent="0.25">
      <c r="B21" s="7" t="s">
        <v>6203</v>
      </c>
      <c r="C21" s="9">
        <v>255.11499999999995</v>
      </c>
      <c r="D21" s="9">
        <v>541.73</v>
      </c>
      <c r="E21" s="9">
        <v>83.43</v>
      </c>
      <c r="F21" s="9">
        <v>59.079999999999991</v>
      </c>
    </row>
    <row r="22" spans="1:6" x14ac:dyDescent="0.25">
      <c r="B22" s="7" t="s">
        <v>6204</v>
      </c>
      <c r="C22" s="9">
        <v>584.78999999999985</v>
      </c>
      <c r="D22" s="9">
        <v>357.42999999999995</v>
      </c>
      <c r="E22" s="9">
        <v>355.34</v>
      </c>
      <c r="F22" s="9">
        <v>140.88</v>
      </c>
    </row>
    <row r="23" spans="1:6" x14ac:dyDescent="0.25">
      <c r="B23" s="7" t="s">
        <v>6205</v>
      </c>
      <c r="C23" s="9">
        <v>430.62</v>
      </c>
      <c r="D23" s="9">
        <v>227.42500000000001</v>
      </c>
      <c r="E23" s="9">
        <v>236.315</v>
      </c>
      <c r="F23" s="9">
        <v>414.58499999999992</v>
      </c>
    </row>
    <row r="24" spans="1:6" x14ac:dyDescent="0.25">
      <c r="B24" s="7" t="s">
        <v>6206</v>
      </c>
      <c r="C24" s="9">
        <v>22.5</v>
      </c>
      <c r="D24" s="9">
        <v>77.72</v>
      </c>
      <c r="E24" s="9">
        <v>60.5</v>
      </c>
      <c r="F24" s="9">
        <v>139.67999999999998</v>
      </c>
    </row>
    <row r="25" spans="1:6" x14ac:dyDescent="0.25">
      <c r="B25" s="7" t="s">
        <v>6207</v>
      </c>
      <c r="C25" s="9">
        <v>126.14999999999999</v>
      </c>
      <c r="D25" s="9">
        <v>195.11</v>
      </c>
      <c r="E25" s="9">
        <v>89.13</v>
      </c>
      <c r="F25" s="9">
        <v>302.65999999999997</v>
      </c>
    </row>
    <row r="26" spans="1:6" x14ac:dyDescent="0.25">
      <c r="B26" s="7" t="s">
        <v>6208</v>
      </c>
      <c r="C26" s="9">
        <v>376.03</v>
      </c>
      <c r="D26" s="9">
        <v>523.24</v>
      </c>
      <c r="E26" s="9">
        <v>440.96499999999997</v>
      </c>
      <c r="F26" s="9">
        <v>174.46999999999997</v>
      </c>
    </row>
    <row r="27" spans="1:6" x14ac:dyDescent="0.25">
      <c r="B27" s="7" t="s">
        <v>6209</v>
      </c>
      <c r="C27" s="9">
        <v>515.17999999999995</v>
      </c>
      <c r="D27" s="9">
        <v>142.56</v>
      </c>
      <c r="E27" s="9">
        <v>347.03999999999996</v>
      </c>
      <c r="F27" s="9">
        <v>104.08499999999999</v>
      </c>
    </row>
    <row r="28" spans="1:6" x14ac:dyDescent="0.25">
      <c r="B28" s="7" t="s">
        <v>6210</v>
      </c>
      <c r="C28" s="9">
        <v>95.859999999999985</v>
      </c>
      <c r="D28" s="9">
        <v>484.76</v>
      </c>
      <c r="E28" s="9">
        <v>94.17</v>
      </c>
      <c r="F28" s="9">
        <v>77.10499999999999</v>
      </c>
    </row>
    <row r="29" spans="1:6" x14ac:dyDescent="0.25">
      <c r="A29" t="s">
        <v>6212</v>
      </c>
      <c r="B29" s="7" t="s">
        <v>6199</v>
      </c>
      <c r="C29" s="9">
        <v>258.34500000000003</v>
      </c>
      <c r="D29" s="9">
        <v>139.625</v>
      </c>
      <c r="E29" s="9">
        <v>279.52000000000004</v>
      </c>
      <c r="F29" s="9">
        <v>160.19499999999999</v>
      </c>
    </row>
    <row r="30" spans="1:6" x14ac:dyDescent="0.25">
      <c r="B30" s="7" t="s">
        <v>6200</v>
      </c>
      <c r="C30" s="9">
        <v>342.2</v>
      </c>
      <c r="D30" s="9">
        <v>284.24999999999994</v>
      </c>
      <c r="E30" s="9">
        <v>251.83</v>
      </c>
      <c r="F30" s="9">
        <v>80.550000000000011</v>
      </c>
    </row>
    <row r="31" spans="1:6" x14ac:dyDescent="0.25">
      <c r="B31" s="7" t="s">
        <v>6201</v>
      </c>
      <c r="C31" s="9">
        <v>418.30499999999989</v>
      </c>
      <c r="D31" s="9">
        <v>468.125</v>
      </c>
      <c r="E31" s="9">
        <v>405.05500000000006</v>
      </c>
      <c r="F31" s="9">
        <v>253.15499999999997</v>
      </c>
    </row>
    <row r="32" spans="1:6" x14ac:dyDescent="0.25">
      <c r="B32" s="7" t="s">
        <v>6202</v>
      </c>
      <c r="C32" s="9">
        <v>102.32999999999998</v>
      </c>
      <c r="D32" s="9">
        <v>242.14000000000001</v>
      </c>
      <c r="E32" s="9">
        <v>554.875</v>
      </c>
      <c r="F32" s="9">
        <v>106.23999999999998</v>
      </c>
    </row>
    <row r="33" spans="1:6" x14ac:dyDescent="0.25">
      <c r="B33" s="7" t="s">
        <v>6203</v>
      </c>
      <c r="C33" s="9">
        <v>234.71999999999997</v>
      </c>
      <c r="D33" s="9">
        <v>133.08000000000001</v>
      </c>
      <c r="E33" s="9">
        <v>267.2</v>
      </c>
      <c r="F33" s="9">
        <v>272.68999999999994</v>
      </c>
    </row>
    <row r="34" spans="1:6" x14ac:dyDescent="0.25">
      <c r="B34" s="7" t="s">
        <v>6204</v>
      </c>
      <c r="C34" s="9">
        <v>430.39</v>
      </c>
      <c r="D34" s="9">
        <v>136.20500000000001</v>
      </c>
      <c r="E34" s="9">
        <v>209.6</v>
      </c>
      <c r="F34" s="9">
        <v>88.334999999999994</v>
      </c>
    </row>
    <row r="35" spans="1:6" x14ac:dyDescent="0.25">
      <c r="B35" s="7" t="s">
        <v>6205</v>
      </c>
      <c r="C35" s="9">
        <v>109.005</v>
      </c>
      <c r="D35" s="9">
        <v>393.57499999999999</v>
      </c>
      <c r="E35" s="9">
        <v>61.034999999999997</v>
      </c>
      <c r="F35" s="9">
        <v>199.48999999999998</v>
      </c>
    </row>
    <row r="36" spans="1:6" x14ac:dyDescent="0.25">
      <c r="B36" s="7" t="s">
        <v>6206</v>
      </c>
      <c r="C36" s="9">
        <v>287.52499999999998</v>
      </c>
      <c r="D36" s="9">
        <v>288.67</v>
      </c>
      <c r="E36" s="9">
        <v>125.58</v>
      </c>
      <c r="F36" s="9">
        <v>374.13499999999999</v>
      </c>
    </row>
    <row r="37" spans="1:6" x14ac:dyDescent="0.25">
      <c r="B37" s="7" t="s">
        <v>6207</v>
      </c>
      <c r="C37" s="9">
        <v>840.92999999999984</v>
      </c>
      <c r="D37" s="9">
        <v>409.875</v>
      </c>
      <c r="E37" s="9">
        <v>171.32999999999998</v>
      </c>
      <c r="F37" s="9">
        <v>221.43999999999997</v>
      </c>
    </row>
    <row r="38" spans="1:6" x14ac:dyDescent="0.25">
      <c r="B38" s="7" t="s">
        <v>6208</v>
      </c>
      <c r="C38" s="9">
        <v>299.07</v>
      </c>
      <c r="D38" s="9">
        <v>260.32499999999999</v>
      </c>
      <c r="E38" s="9">
        <v>584.64</v>
      </c>
      <c r="F38" s="9">
        <v>256.36500000000001</v>
      </c>
    </row>
    <row r="39" spans="1:6" x14ac:dyDescent="0.25">
      <c r="B39" s="7" t="s">
        <v>6209</v>
      </c>
      <c r="C39" s="9">
        <v>323.32499999999999</v>
      </c>
      <c r="D39" s="9">
        <v>565.57000000000005</v>
      </c>
      <c r="E39" s="9">
        <v>537.80999999999995</v>
      </c>
      <c r="F39" s="9">
        <v>189.47499999999999</v>
      </c>
    </row>
    <row r="40" spans="1:6" x14ac:dyDescent="0.25">
      <c r="B40" s="7" t="s">
        <v>6210</v>
      </c>
      <c r="C40" s="9">
        <v>399.48499999999996</v>
      </c>
      <c r="D40" s="9">
        <v>148.19999999999999</v>
      </c>
      <c r="E40" s="9">
        <v>388.21999999999997</v>
      </c>
      <c r="F40" s="9">
        <v>212.07499999999999</v>
      </c>
    </row>
    <row r="41" spans="1:6" x14ac:dyDescent="0.25">
      <c r="A41" t="s">
        <v>6213</v>
      </c>
      <c r="B41" s="7" t="s">
        <v>6199</v>
      </c>
      <c r="C41" s="9">
        <v>112.69499999999999</v>
      </c>
      <c r="D41" s="9">
        <v>166.32</v>
      </c>
      <c r="E41" s="9">
        <v>843.71499999999992</v>
      </c>
      <c r="F41" s="9">
        <v>146.685</v>
      </c>
    </row>
    <row r="42" spans="1:6" x14ac:dyDescent="0.25">
      <c r="B42" s="7" t="s">
        <v>6200</v>
      </c>
      <c r="C42" s="9">
        <v>114.87999999999998</v>
      </c>
      <c r="D42" s="9">
        <v>133.815</v>
      </c>
      <c r="E42" s="9">
        <v>91.175000000000011</v>
      </c>
      <c r="F42" s="9">
        <v>53.759999999999991</v>
      </c>
    </row>
    <row r="43" spans="1:6" x14ac:dyDescent="0.25">
      <c r="B43" s="7" t="s">
        <v>6201</v>
      </c>
      <c r="C43" s="9">
        <v>277.76</v>
      </c>
      <c r="D43" s="9">
        <v>175.41</v>
      </c>
      <c r="E43" s="9">
        <v>462.50999999999993</v>
      </c>
      <c r="F43" s="9">
        <v>399.52499999999998</v>
      </c>
    </row>
    <row r="44" spans="1:6" x14ac:dyDescent="0.25">
      <c r="B44" s="7" t="s">
        <v>6202</v>
      </c>
      <c r="C44" s="9">
        <v>197.89499999999998</v>
      </c>
      <c r="D44" s="9">
        <v>289.755</v>
      </c>
      <c r="E44" s="9">
        <v>88.545000000000002</v>
      </c>
      <c r="F44" s="9">
        <v>200.25499999999997</v>
      </c>
    </row>
    <row r="45" spans="1:6" x14ac:dyDescent="0.25">
      <c r="B45" s="7" t="s">
        <v>6203</v>
      </c>
      <c r="C45" s="9">
        <v>193.11499999999998</v>
      </c>
      <c r="D45" s="9">
        <v>212.49499999999998</v>
      </c>
      <c r="E45" s="9">
        <v>292.29000000000002</v>
      </c>
      <c r="F45" s="9">
        <v>304.46999999999997</v>
      </c>
    </row>
    <row r="46" spans="1:6" x14ac:dyDescent="0.25">
      <c r="B46" s="7" t="s">
        <v>6204</v>
      </c>
      <c r="C46" s="9">
        <v>179.79</v>
      </c>
      <c r="D46" s="9">
        <v>426.2</v>
      </c>
      <c r="E46" s="9">
        <v>170.08999999999997</v>
      </c>
      <c r="F46" s="9">
        <v>379.31</v>
      </c>
    </row>
    <row r="47" spans="1:6" x14ac:dyDescent="0.25">
      <c r="B47" s="7" t="s">
        <v>6205</v>
      </c>
      <c r="C47" s="9">
        <v>247.28999999999996</v>
      </c>
      <c r="D47" s="9">
        <v>246.685</v>
      </c>
      <c r="E47" s="9">
        <v>271.05499999999995</v>
      </c>
      <c r="F47" s="9">
        <v>141.69999999999999</v>
      </c>
    </row>
    <row r="48" spans="1:6" x14ac:dyDescent="0.25">
      <c r="B48" s="7" t="s">
        <v>6206</v>
      </c>
      <c r="C48" s="9">
        <v>116.39499999999998</v>
      </c>
      <c r="D48" s="9">
        <v>41.25</v>
      </c>
      <c r="E48" s="9">
        <v>15.54</v>
      </c>
      <c r="F48" s="9">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333D2-C3CC-4139-B132-2DAEF9254402}">
  <dimension ref="A3:B6"/>
  <sheetViews>
    <sheetView workbookViewId="0">
      <selection activeCell="N33" sqref="N33"/>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7</v>
      </c>
      <c r="B3" t="s">
        <v>6219</v>
      </c>
    </row>
    <row r="4" spans="1:2" x14ac:dyDescent="0.25">
      <c r="A4" t="s">
        <v>28</v>
      </c>
      <c r="B4" s="10">
        <v>2798.5050000000001</v>
      </c>
    </row>
    <row r="5" spans="1:2" x14ac:dyDescent="0.25">
      <c r="A5" t="s">
        <v>318</v>
      </c>
      <c r="B5" s="10">
        <v>6696.8649999999989</v>
      </c>
    </row>
    <row r="6" spans="1:2" x14ac:dyDescent="0.25">
      <c r="A6" t="s">
        <v>19</v>
      </c>
      <c r="B6" s="10">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6D68-C48B-4177-B25F-B461E287980A}">
  <dimension ref="A3:B8"/>
  <sheetViews>
    <sheetView workbookViewId="0">
      <selection activeCell="L26" sqref="L26"/>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4</v>
      </c>
      <c r="B3" t="s">
        <v>6219</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P2" sqref="P2:P100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140625" customWidth="1"/>
    <col min="12" max="12" width="11.28515625" customWidth="1"/>
    <col min="13" max="13" width="9.5703125" bestFit="1" customWidth="1"/>
    <col min="14" max="14" width="18.42578125" customWidth="1"/>
    <col min="15" max="15" width="17.57031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6220</v>
      </c>
    </row>
    <row r="2" spans="1:16" x14ac:dyDescent="0.25">
      <c r="A2" s="2" t="s">
        <v>490</v>
      </c>
      <c r="B2" s="3">
        <v>43713</v>
      </c>
      <c r="C2" s="2" t="s">
        <v>491</v>
      </c>
      <c r="D2" t="s">
        <v>6138</v>
      </c>
      <c r="E2" s="2">
        <v>2</v>
      </c>
      <c r="F2" s="2" t="str">
        <f>_xlfn.XLOOKUP(orders!C2,customers!$A$1:$A$1001,customers!$B$1:$B$1001,,0)</f>
        <v>Aloisia Allner</v>
      </c>
      <c r="G2" s="2" t="str">
        <f>IF(_xlfn.XLOOKUP(orders!C2,customers!$A$1:$A$1001,customers!$C$1:$C$1001,,0)=0,"",_xlfn.XLOOKUP(orders!C2,customers!$A$1:$A$1001,customers!$C$1:$C$1001,,0))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 t="shared" ref="N2:N7" si="0">IF(I2="Rob","Robusta",IF(I2="Exc","Excelsa",IF(I2="Ara","Arabica",IF(I2="Lib","Liberica"))))</f>
        <v>Robusta</v>
      </c>
      <c r="O2" t="str">
        <f>IF(J2="M","Medium",IF(J2= "L", "Light",IF(J2="D", "Dark","")))</f>
        <v>Medium</v>
      </c>
      <c r="P2" t="str">
        <f>_xlfn.XLOOKUP(orders[[#This Row],[Customer ID]],customers!$A$1:$A$1001,customers!$I$1:$I$1001,,0)</f>
        <v>Yes</v>
      </c>
    </row>
    <row r="3" spans="1:16" x14ac:dyDescent="0.25">
      <c r="A3" s="2" t="s">
        <v>490</v>
      </c>
      <c r="B3" s="3">
        <v>43713</v>
      </c>
      <c r="C3" s="2" t="s">
        <v>491</v>
      </c>
      <c r="D3" t="s">
        <v>6139</v>
      </c>
      <c r="E3" s="2">
        <v>5</v>
      </c>
      <c r="F3" s="2" t="str">
        <f>_xlfn.XLOOKUP(orders!C3,customers!$A$1:$A$1001,customers!$B$1:$B$1001,,0)</f>
        <v>Aloisia Allner</v>
      </c>
      <c r="G3" s="2" t="str">
        <f>IF(_xlfn.XLOOKUP(orders!C3,customers!$A$1:$A$1001,customers!$C$1:$C$1001,,0)=0,"",_xlfn.XLOOKUP(orders!C3,customers!$A$1:$A$1001,customers!$C$1:$C$1001,,0))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1">L3*E3</f>
        <v>41.25</v>
      </c>
      <c r="N3" t="str">
        <f t="shared" si="0"/>
        <v>Excelsa</v>
      </c>
      <c r="O3" t="str">
        <f t="shared" ref="O3:O66" si="2">IF(J3="M","Medium",IF(J3= "L", "Light",IF(J3="D", "Dark","")))</f>
        <v>Medium</v>
      </c>
      <c r="P3" t="str">
        <f>_xlfn.XLOOKUP(orders[[#This Row],[Customer ID]],customers!$A$1:$A$1001,customers!$I$1:$I$1001,,0)</f>
        <v>Yes</v>
      </c>
    </row>
    <row r="4" spans="1:16" x14ac:dyDescent="0.25">
      <c r="A4" s="2" t="s">
        <v>501</v>
      </c>
      <c r="B4" s="3">
        <v>44364</v>
      </c>
      <c r="C4" s="2" t="s">
        <v>502</v>
      </c>
      <c r="D4" t="s">
        <v>6140</v>
      </c>
      <c r="E4" s="2">
        <v>1</v>
      </c>
      <c r="F4" s="2" t="str">
        <f>_xlfn.XLOOKUP(orders!C4,customers!$A$1:$A$1001,customers!$B$1:$B$1001,,0)</f>
        <v>Jami Redholes</v>
      </c>
      <c r="G4" s="2" t="str">
        <f>IF(_xlfn.XLOOKUP(orders!C4,customers!$A$1:$A$1001,customers!$C$1:$C$1001,,0)=0,"",_xlfn.XLOOKUP(orders!C4,customers!$A$1:$A$1001,customers!$C$1:$C$1001,,0))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1"/>
        <v>12.95</v>
      </c>
      <c r="N4" t="str">
        <f t="shared" si="0"/>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_xlfn.XLOOKUP(orders!C5,customers!$A$1:$A$1001,customers!$B$1:$B$1001,,0)</f>
        <v>Christoffer O' Shea</v>
      </c>
      <c r="G5" s="2" t="str">
        <f>IF(_xlfn.XLOOKUP(orders!C5,customers!$A$1:$A$1001,customers!$C$1:$C$1001,,0)=0,"",_xlfn.XLOOKUP(orders!C5,customers!$A$1:$A$1001,customers!$C$1:$C$1001,,0))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1"/>
        <v>27.5</v>
      </c>
      <c r="N5" t="str">
        <f t="shared" si="0"/>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_xlfn.XLOOKUP(orders!C6,customers!$A$1:$A$1001,customers!$B$1:$B$1001,,0)</f>
        <v>Christoffer O' Shea</v>
      </c>
      <c r="G6" s="2" t="str">
        <f>IF(_xlfn.XLOOKUP(orders!C6,customers!$A$1:$A$1001,customers!$C$1:$C$1001,,0)=0,"",_xlfn.XLOOKUP(orders!C6,customers!$A$1:$A$1001,customers!$C$1:$C$1001,,0))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1"/>
        <v>54.969999999999992</v>
      </c>
      <c r="N6" t="str">
        <f t="shared" si="0"/>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_xlfn.XLOOKUP(orders!C7,customers!$A$1:$A$1001,customers!$B$1:$B$1001,,0)</f>
        <v>Beryle Cottier</v>
      </c>
      <c r="G7" s="2" t="str">
        <f>IF(_xlfn.XLOOKUP(orders!C7,customers!$A$1:$A$1001,customers!$C$1:$C$1001,,0)=0,"",_xlfn.XLOOKUP(orders!C7,customers!$A$1:$A$1001,customers!$C$1:$C$1001,,0))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1"/>
        <v>38.849999999999994</v>
      </c>
      <c r="N7" t="str">
        <f t="shared" si="0"/>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_xlfn.XLOOKUP(orders!C8,customers!$A$1:$A$1001,customers!$B$1:$B$1001,,0)</f>
        <v>Shaylynn Lobe</v>
      </c>
      <c r="G8" s="2" t="str">
        <f>IF(_xlfn.XLOOKUP(orders!C8,customers!$A$1:$A$1001,customers!$C$1:$C$1001,,0)=0,"",_xlfn.XLOOKUP(orders!C8,customers!$A$1:$A$1001,customers!$C$1:$C$1001,,0))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1"/>
        <v>21.87</v>
      </c>
      <c r="N8" t="str">
        <f t="shared" ref="N8:N71" si="3">IF(I8="Rob","Robusta",IF(I8="Exc","Excelsa",IF(I8="Ara","Arabica",IF(I8="Lib","Liberica"))))</f>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_xlfn.XLOOKUP(orders!C9,customers!$A$1:$A$1001,customers!$B$1:$B$1001,,0)</f>
        <v>Melvin Wharfe</v>
      </c>
      <c r="G9" s="2" t="str">
        <f>IF(_xlfn.XLOOKUP(orders!C9,customers!$A$1:$A$1001,customers!$C$1:$C$1001,,0)=0,"",_xlfn.XLOOKUP(orders!C9,customers!$A$1:$A$1001,customers!$C$1:$C$1001,,0))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1"/>
        <v>4.7549999999999999</v>
      </c>
      <c r="N9" t="str">
        <f t="shared" si="3"/>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_xlfn.XLOOKUP(orders!C10,customers!$A$1:$A$1001,customers!$B$1:$B$1001,,0)</f>
        <v>Guthrey Petracci</v>
      </c>
      <c r="G10" s="2" t="str">
        <f>IF(_xlfn.XLOOKUP(orders!C10,customers!$A$1:$A$1001,customers!$C$1:$C$1001,,0)=0,"",_xlfn.XLOOKUP(orders!C10,customers!$A$1:$A$1001,customers!$C$1:$C$1001,,0))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1"/>
        <v>17.91</v>
      </c>
      <c r="N10" t="str">
        <f t="shared" si="3"/>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_xlfn.XLOOKUP(orders!C11,customers!$A$1:$A$1001,customers!$B$1:$B$1001,,0)</f>
        <v>Rodger Raven</v>
      </c>
      <c r="G11" s="2" t="str">
        <f>IF(_xlfn.XLOOKUP(orders!C11,customers!$A$1:$A$1001,customers!$C$1:$C$1001,,0)=0,"",_xlfn.XLOOKUP(orders!C11,customers!$A$1:$A$1001,customers!$C$1:$C$1001,,0))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1"/>
        <v>5.97</v>
      </c>
      <c r="N11" t="str">
        <f t="shared" si="3"/>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_xlfn.XLOOKUP(orders!C12,customers!$A$1:$A$1001,customers!$B$1:$B$1001,,0)</f>
        <v>Ferrell Ferber</v>
      </c>
      <c r="G12" s="2" t="str">
        <f>IF(_xlfn.XLOOKUP(orders!C12,customers!$A$1:$A$1001,customers!$C$1:$C$1001,,0)=0,"",_xlfn.XLOOKUP(orders!C12,customers!$A$1:$A$1001,customers!$C$1:$C$1001,,0))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1"/>
        <v>39.799999999999997</v>
      </c>
      <c r="N12" t="str">
        <f t="shared" si="3"/>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_xlfn.XLOOKUP(orders!C13,customers!$A$1:$A$1001,customers!$B$1:$B$1001,,0)</f>
        <v>Duky Phizackerly</v>
      </c>
      <c r="G13" s="2" t="str">
        <f>IF(_xlfn.XLOOKUP(orders!C13,customers!$A$1:$A$1001,customers!$C$1:$C$1001,,0)=0,"",_xlfn.XLOOKUP(orders!C13,customers!$A$1:$A$1001,customers!$C$1:$C$1001,,0))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1"/>
        <v>170.77499999999998</v>
      </c>
      <c r="N13" t="str">
        <f t="shared" si="3"/>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_xlfn.XLOOKUP(orders!C14,customers!$A$1:$A$1001,customers!$B$1:$B$1001,,0)</f>
        <v>Rosaleen Scholar</v>
      </c>
      <c r="G14" s="2" t="str">
        <f>IF(_xlfn.XLOOKUP(orders!C14,customers!$A$1:$A$1001,customers!$C$1:$C$1001,,0)=0,"",_xlfn.XLOOKUP(orders!C14,customers!$A$1:$A$1001,customers!$C$1:$C$1001,,0))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1"/>
        <v>49.75</v>
      </c>
      <c r="N14" t="str">
        <f t="shared" si="3"/>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_xlfn.XLOOKUP(orders!C15,customers!$A$1:$A$1001,customers!$B$1:$B$1001,,0)</f>
        <v>Terence Vanyutin</v>
      </c>
      <c r="G15" s="2" t="str">
        <f>IF(_xlfn.XLOOKUP(orders!C15,customers!$A$1:$A$1001,customers!$C$1:$C$1001,,0)=0,"",_xlfn.XLOOKUP(orders!C15,customers!$A$1:$A$1001,customers!$C$1:$C$1001,,0))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1"/>
        <v>41.169999999999995</v>
      </c>
      <c r="N15" t="str">
        <f t="shared" si="3"/>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_xlfn.XLOOKUP(orders!C16,customers!$A$1:$A$1001,customers!$B$1:$B$1001,,0)</f>
        <v>Patrice Trobe</v>
      </c>
      <c r="G16" s="2" t="str">
        <f>IF(_xlfn.XLOOKUP(orders!C16,customers!$A$1:$A$1001,customers!$C$1:$C$1001,,0)=0,"",_xlfn.XLOOKUP(orders!C16,customers!$A$1:$A$1001,customers!$C$1:$C$1001,,0))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1"/>
        <v>11.654999999999999</v>
      </c>
      <c r="N16" t="str">
        <f t="shared" si="3"/>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_xlfn.XLOOKUP(orders!C17,customers!$A$1:$A$1001,customers!$B$1:$B$1001,,0)</f>
        <v>Llywellyn Oscroft</v>
      </c>
      <c r="G17" s="2" t="str">
        <f>IF(_xlfn.XLOOKUP(orders!C17,customers!$A$1:$A$1001,customers!$C$1:$C$1001,,0)=0,"",_xlfn.XLOOKUP(orders!C17,customers!$A$1:$A$1001,customers!$C$1:$C$1001,,0))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1"/>
        <v>114.42499999999998</v>
      </c>
      <c r="N17" t="str">
        <f t="shared" si="3"/>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_xlfn.XLOOKUP(orders!C18,customers!$A$1:$A$1001,customers!$B$1:$B$1001,,0)</f>
        <v>Minni Alabaster</v>
      </c>
      <c r="G18" s="2" t="str">
        <f>IF(_xlfn.XLOOKUP(orders!C18,customers!$A$1:$A$1001,customers!$C$1:$C$1001,,0)=0,"",_xlfn.XLOOKUP(orders!C18,customers!$A$1:$A$1001,customers!$C$1:$C$1001,,0))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1"/>
        <v>20.25</v>
      </c>
      <c r="N18" t="str">
        <f t="shared" si="3"/>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_xlfn.XLOOKUP(orders!C19,customers!$A$1:$A$1001,customers!$B$1:$B$1001,,0)</f>
        <v>Rhianon Broxup</v>
      </c>
      <c r="G19" s="2" t="str">
        <f>IF(_xlfn.XLOOKUP(orders!C19,customers!$A$1:$A$1001,customers!$C$1:$C$1001,,0)=0,"",_xlfn.XLOOKUP(orders!C19,customers!$A$1:$A$1001,customers!$C$1:$C$1001,,0))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1"/>
        <v>77.699999999999989</v>
      </c>
      <c r="N19" t="str">
        <f t="shared" si="3"/>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_xlfn.XLOOKUP(orders!C20,customers!$A$1:$A$1001,customers!$B$1:$B$1001,,0)</f>
        <v>Pall Redford</v>
      </c>
      <c r="G20" s="2" t="str">
        <f>IF(_xlfn.XLOOKUP(orders!C20,customers!$A$1:$A$1001,customers!$C$1:$C$1001,,0)=0,"",_xlfn.XLOOKUP(orders!C20,customers!$A$1:$A$1001,customers!$C$1:$C$1001,,0))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1"/>
        <v>82.339999999999989</v>
      </c>
      <c r="N20" t="str">
        <f t="shared" si="3"/>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_xlfn.XLOOKUP(orders!C21,customers!$A$1:$A$1001,customers!$B$1:$B$1001,,0)</f>
        <v>Aurea Corradino</v>
      </c>
      <c r="G21" s="2" t="str">
        <f>IF(_xlfn.XLOOKUP(orders!C21,customers!$A$1:$A$1001,customers!$C$1:$C$1001,,0)=0,"",_xlfn.XLOOKUP(orders!C21,customers!$A$1:$A$1001,customers!$C$1:$C$1001,,0))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1"/>
        <v>16.875</v>
      </c>
      <c r="N21" t="str">
        <f t="shared" si="3"/>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_xlfn.XLOOKUP(orders!C22,customers!$A$1:$A$1001,customers!$B$1:$B$1001,,0)</f>
        <v>Aurea Corradino</v>
      </c>
      <c r="G22" s="2" t="str">
        <f>IF(_xlfn.XLOOKUP(orders!C22,customers!$A$1:$A$1001,customers!$C$1:$C$1001,,0)=0,"",_xlfn.XLOOKUP(orders!C22,customers!$A$1:$A$1001,customers!$C$1:$C$1001,,0))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1"/>
        <v>14.58</v>
      </c>
      <c r="N22" t="str">
        <f t="shared" si="3"/>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_xlfn.XLOOKUP(orders!C23,customers!$A$1:$A$1001,customers!$B$1:$B$1001,,0)</f>
        <v>Avrit Davidowsky</v>
      </c>
      <c r="G23" s="2" t="str">
        <f>IF(_xlfn.XLOOKUP(orders!C23,customers!$A$1:$A$1001,customers!$C$1:$C$1001,,0)=0,"",_xlfn.XLOOKUP(orders!C23,customers!$A$1:$A$1001,customers!$C$1:$C$1001,,0))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1"/>
        <v>17.91</v>
      </c>
      <c r="N23" t="str">
        <f t="shared" si="3"/>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_xlfn.XLOOKUP(orders!C24,customers!$A$1:$A$1001,customers!$B$1:$B$1001,,0)</f>
        <v>Annabel Antuk</v>
      </c>
      <c r="G24" s="2" t="str">
        <f>IF(_xlfn.XLOOKUP(orders!C24,customers!$A$1:$A$1001,customers!$C$1:$C$1001,,0)=0,"",_xlfn.XLOOKUP(orders!C24,customers!$A$1:$A$1001,customers!$C$1:$C$1001,,0))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1"/>
        <v>91.539999999999992</v>
      </c>
      <c r="N24" t="str">
        <f t="shared" si="3"/>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_xlfn.XLOOKUP(orders!C25,customers!$A$1:$A$1001,customers!$B$1:$B$1001,,0)</f>
        <v>Iorgo Kleinert</v>
      </c>
      <c r="G25" s="2" t="str">
        <f>IF(_xlfn.XLOOKUP(orders!C25,customers!$A$1:$A$1001,customers!$C$1:$C$1001,,0)=0,"",_xlfn.XLOOKUP(orders!C25,customers!$A$1:$A$1001,customers!$C$1:$C$1001,,0))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1"/>
        <v>11.94</v>
      </c>
      <c r="N25" t="str">
        <f t="shared" si="3"/>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_xlfn.XLOOKUP(orders!C26,customers!$A$1:$A$1001,customers!$B$1:$B$1001,,0)</f>
        <v>Chrisy Blofeld</v>
      </c>
      <c r="G26" s="2" t="str">
        <f>IF(_xlfn.XLOOKUP(orders!C26,customers!$A$1:$A$1001,customers!$C$1:$C$1001,,0)=0,"",_xlfn.XLOOKUP(orders!C26,customers!$A$1:$A$1001,customers!$C$1:$C$1001,,0))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1"/>
        <v>11.25</v>
      </c>
      <c r="N26" t="str">
        <f t="shared" si="3"/>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_xlfn.XLOOKUP(orders!C27,customers!$A$1:$A$1001,customers!$B$1:$B$1001,,0)</f>
        <v>Culley Farris</v>
      </c>
      <c r="G27" s="2" t="str">
        <f>IF(_xlfn.XLOOKUP(orders!C27,customers!$A$1:$A$1001,customers!$C$1:$C$1001,,0)=0,"",_xlfn.XLOOKUP(orders!C27,customers!$A$1:$A$1001,customers!$C$1:$C$1001,,0))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1"/>
        <v>12.375</v>
      </c>
      <c r="N27" t="str">
        <f t="shared" si="3"/>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_xlfn.XLOOKUP(orders!C28,customers!$A$1:$A$1001,customers!$B$1:$B$1001,,0)</f>
        <v>Selene Shales</v>
      </c>
      <c r="G28" s="2" t="str">
        <f>IF(_xlfn.XLOOKUP(orders!C28,customers!$A$1:$A$1001,customers!$C$1:$C$1001,,0)=0,"",_xlfn.XLOOKUP(orders!C28,customers!$A$1:$A$1001,customers!$C$1:$C$1001,,0))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1"/>
        <v>27</v>
      </c>
      <c r="N28" t="str">
        <f t="shared" si="3"/>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_xlfn.XLOOKUP(orders!C29,customers!$A$1:$A$1001,customers!$B$1:$B$1001,,0)</f>
        <v>Vivie Danneil</v>
      </c>
      <c r="G29" s="2" t="str">
        <f>IF(_xlfn.XLOOKUP(orders!C29,customers!$A$1:$A$1001,customers!$C$1:$C$1001,,0)=0,"",_xlfn.XLOOKUP(orders!C29,customers!$A$1:$A$1001,customers!$C$1:$C$1001,,0))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1"/>
        <v>16.875</v>
      </c>
      <c r="N29" t="str">
        <f t="shared" si="3"/>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_xlfn.XLOOKUP(orders!C30,customers!$A$1:$A$1001,customers!$B$1:$B$1001,,0)</f>
        <v>Theresita Newbury</v>
      </c>
      <c r="G30" s="2" t="str">
        <f>IF(_xlfn.XLOOKUP(orders!C30,customers!$A$1:$A$1001,customers!$C$1:$C$1001,,0)=0,"",_xlfn.XLOOKUP(orders!C30,customers!$A$1:$A$1001,customers!$C$1:$C$1001,,0))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1"/>
        <v>17.91</v>
      </c>
      <c r="N30" t="str">
        <f t="shared" si="3"/>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_xlfn.XLOOKUP(orders!C31,customers!$A$1:$A$1001,customers!$B$1:$B$1001,,0)</f>
        <v>Mozelle Calcutt</v>
      </c>
      <c r="G31" s="2" t="str">
        <f>IF(_xlfn.XLOOKUP(orders!C31,customers!$A$1:$A$1001,customers!$C$1:$C$1001,,0)=0,"",_xlfn.XLOOKUP(orders!C31,customers!$A$1:$A$1001,customers!$C$1:$C$1001,,0))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1"/>
        <v>39.799999999999997</v>
      </c>
      <c r="N31" t="str">
        <f t="shared" si="3"/>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_xlfn.XLOOKUP(orders!C32,customers!$A$1:$A$1001,customers!$B$1:$B$1001,,0)</f>
        <v>Adrian Swaine</v>
      </c>
      <c r="G32" s="2" t="str">
        <f>IF(_xlfn.XLOOKUP(orders!C32,customers!$A$1:$A$1001,customers!$C$1:$C$1001,,0)=0,"",_xlfn.XLOOKUP(orders!C32,customers!$A$1:$A$1001,customers!$C$1:$C$1001,,0))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1"/>
        <v>21.825000000000003</v>
      </c>
      <c r="N32" t="str">
        <f t="shared" si="3"/>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_xlfn.XLOOKUP(orders!C33,customers!$A$1:$A$1001,customers!$B$1:$B$1001,,0)</f>
        <v>Adrian Swaine</v>
      </c>
      <c r="G33" s="2" t="str">
        <f>IF(_xlfn.XLOOKUP(orders!C33,customers!$A$1:$A$1001,customers!$C$1:$C$1001,,0)=0,"",_xlfn.XLOOKUP(orders!C33,customers!$A$1:$A$1001,customers!$C$1:$C$1001,,0))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1"/>
        <v>35.82</v>
      </c>
      <c r="N33" t="str">
        <f t="shared" si="3"/>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_xlfn.XLOOKUP(orders!C34,customers!$A$1:$A$1001,customers!$B$1:$B$1001,,0)</f>
        <v>Adrian Swaine</v>
      </c>
      <c r="G34" s="2" t="str">
        <f>IF(_xlfn.XLOOKUP(orders!C34,customers!$A$1:$A$1001,customers!$C$1:$C$1001,,0)=0,"",_xlfn.XLOOKUP(orders!C34,customers!$A$1:$A$1001,customers!$C$1:$C$1001,,0))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1"/>
        <v>52.38</v>
      </c>
      <c r="N34" t="str">
        <f t="shared" si="3"/>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_xlfn.XLOOKUP(orders!C35,customers!$A$1:$A$1001,customers!$B$1:$B$1001,,0)</f>
        <v>Gallard Gatheral</v>
      </c>
      <c r="G35" s="2" t="str">
        <f>IF(_xlfn.XLOOKUP(orders!C35,customers!$A$1:$A$1001,customers!$C$1:$C$1001,,0)=0,"",_xlfn.XLOOKUP(orders!C35,customers!$A$1:$A$1001,customers!$C$1:$C$1001,,0))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1"/>
        <v>23.774999999999999</v>
      </c>
      <c r="N35" t="str">
        <f t="shared" si="3"/>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_xlfn.XLOOKUP(orders!C36,customers!$A$1:$A$1001,customers!$B$1:$B$1001,,0)</f>
        <v>Una Welberry</v>
      </c>
      <c r="G36" s="2" t="str">
        <f>IF(_xlfn.XLOOKUP(orders!C36,customers!$A$1:$A$1001,customers!$C$1:$C$1001,,0)=0,"",_xlfn.XLOOKUP(orders!C36,customers!$A$1:$A$1001,customers!$C$1:$C$1001,,0))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1"/>
        <v>57.06</v>
      </c>
      <c r="N36" t="str">
        <f t="shared" si="3"/>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_xlfn.XLOOKUP(orders!C37,customers!$A$1:$A$1001,customers!$B$1:$B$1001,,0)</f>
        <v>Faber Eilhart</v>
      </c>
      <c r="G37" s="2" t="str">
        <f>IF(_xlfn.XLOOKUP(orders!C37,customers!$A$1:$A$1001,customers!$C$1:$C$1001,,0)=0,"",_xlfn.XLOOKUP(orders!C37,customers!$A$1:$A$1001,customers!$C$1:$C$1001,,0))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1"/>
        <v>35.82</v>
      </c>
      <c r="N37" t="str">
        <f t="shared" si="3"/>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_xlfn.XLOOKUP(orders!C38,customers!$A$1:$A$1001,customers!$B$1:$B$1001,,0)</f>
        <v>Zorina Ponting</v>
      </c>
      <c r="G38" s="2" t="str">
        <f>IF(_xlfn.XLOOKUP(orders!C38,customers!$A$1:$A$1001,customers!$C$1:$C$1001,,0)=0,"",_xlfn.XLOOKUP(orders!C38,customers!$A$1:$A$1001,customers!$C$1:$C$1001,,0))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1"/>
        <v>8.73</v>
      </c>
      <c r="N38" t="str">
        <f t="shared" si="3"/>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_xlfn.XLOOKUP(orders!C39,customers!$A$1:$A$1001,customers!$B$1:$B$1001,,0)</f>
        <v>Silvio Strase</v>
      </c>
      <c r="G39" s="2" t="str">
        <f>IF(_xlfn.XLOOKUP(orders!C39,customers!$A$1:$A$1001,customers!$C$1:$C$1001,,0)=0,"",_xlfn.XLOOKUP(orders!C39,customers!$A$1:$A$1001,customers!$C$1:$C$1001,,0))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1"/>
        <v>28.53</v>
      </c>
      <c r="N39" t="str">
        <f t="shared" si="3"/>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_xlfn.XLOOKUP(orders!C40,customers!$A$1:$A$1001,customers!$B$1:$B$1001,,0)</f>
        <v>Dorie de la Tremoille</v>
      </c>
      <c r="G40" s="2" t="str">
        <f>IF(_xlfn.XLOOKUP(orders!C40,customers!$A$1:$A$1001,customers!$C$1:$C$1001,,0)=0,"",_xlfn.XLOOKUP(orders!C40,customers!$A$1:$A$1001,customers!$C$1:$C$1001,,0))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1"/>
        <v>114.42499999999998</v>
      </c>
      <c r="N40" t="str">
        <f t="shared" si="3"/>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_xlfn.XLOOKUP(orders!C41,customers!$A$1:$A$1001,customers!$B$1:$B$1001,,0)</f>
        <v>Hy Zanetto</v>
      </c>
      <c r="G41" s="2" t="str">
        <f>IF(_xlfn.XLOOKUP(orders!C41,customers!$A$1:$A$1001,customers!$C$1:$C$1001,,0)=0,"",_xlfn.XLOOKUP(orders!C41,customers!$A$1:$A$1001,customers!$C$1:$C$1001,,0))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1"/>
        <v>59.699999999999996</v>
      </c>
      <c r="N41" t="str">
        <f t="shared" si="3"/>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_xlfn.XLOOKUP(orders!C42,customers!$A$1:$A$1001,customers!$B$1:$B$1001,,0)</f>
        <v>Jessica McNess</v>
      </c>
      <c r="G42" s="2" t="str">
        <f>IF(_xlfn.XLOOKUP(orders!C42,customers!$A$1:$A$1001,customers!$C$1:$C$1001,,0)=0,"",_xlfn.XLOOKUP(orders!C42,customers!$A$1:$A$1001,customers!$C$1:$C$1001,,0))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1"/>
        <v>43.650000000000006</v>
      </c>
      <c r="N42" t="str">
        <f t="shared" si="3"/>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_xlfn.XLOOKUP(orders!C43,customers!$A$1:$A$1001,customers!$B$1:$B$1001,,0)</f>
        <v>Lorenzo Yeoland</v>
      </c>
      <c r="G43" s="2" t="str">
        <f>IF(_xlfn.XLOOKUP(orders!C43,customers!$A$1:$A$1001,customers!$C$1:$C$1001,,0)=0,"",_xlfn.XLOOKUP(orders!C43,customers!$A$1:$A$1001,customers!$C$1:$C$1001,,0))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1"/>
        <v>7.29</v>
      </c>
      <c r="N43" t="str">
        <f t="shared" si="3"/>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_xlfn.XLOOKUP(orders!C44,customers!$A$1:$A$1001,customers!$B$1:$B$1001,,0)</f>
        <v>Abigail Tolworthy</v>
      </c>
      <c r="G44" s="2" t="str">
        <f>IF(_xlfn.XLOOKUP(orders!C44,customers!$A$1:$A$1001,customers!$C$1:$C$1001,,0)=0,"",_xlfn.XLOOKUP(orders!C44,customers!$A$1:$A$1001,customers!$C$1:$C$1001,,0))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1"/>
        <v>8.0549999999999997</v>
      </c>
      <c r="N44" t="str">
        <f t="shared" si="3"/>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_xlfn.XLOOKUP(orders!C45,customers!$A$1:$A$1001,customers!$B$1:$B$1001,,0)</f>
        <v>Maurie Bartol</v>
      </c>
      <c r="G45" s="2" t="str">
        <f>IF(_xlfn.XLOOKUP(orders!C45,customers!$A$1:$A$1001,customers!$C$1:$C$1001,,0)=0,"",_xlfn.XLOOKUP(orders!C45,customers!$A$1:$A$1001,customers!$C$1:$C$1001,,0))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1"/>
        <v>72.91</v>
      </c>
      <c r="N45" t="str">
        <f t="shared" si="3"/>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_xlfn.XLOOKUP(orders!C46,customers!$A$1:$A$1001,customers!$B$1:$B$1001,,0)</f>
        <v>Olag Baudassi</v>
      </c>
      <c r="G46" s="2" t="str">
        <f>IF(_xlfn.XLOOKUP(orders!C46,customers!$A$1:$A$1001,customers!$C$1:$C$1001,,0)=0,"",_xlfn.XLOOKUP(orders!C46,customers!$A$1:$A$1001,customers!$C$1:$C$1001,,0))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1"/>
        <v>16.5</v>
      </c>
      <c r="N46" t="str">
        <f t="shared" si="3"/>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_xlfn.XLOOKUP(orders!C47,customers!$A$1:$A$1001,customers!$B$1:$B$1001,,0)</f>
        <v>Petey Kingsbury</v>
      </c>
      <c r="G47" s="2" t="str">
        <f>IF(_xlfn.XLOOKUP(orders!C47,customers!$A$1:$A$1001,customers!$C$1:$C$1001,,0)=0,"",_xlfn.XLOOKUP(orders!C47,customers!$A$1:$A$1001,customers!$C$1:$C$1001,,0))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1"/>
        <v>178.70999999999998</v>
      </c>
      <c r="N47" t="str">
        <f t="shared" si="3"/>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_xlfn.XLOOKUP(orders!C48,customers!$A$1:$A$1001,customers!$B$1:$B$1001,,0)</f>
        <v>Donna Baskeyfied</v>
      </c>
      <c r="G48" s="2" t="str">
        <f>IF(_xlfn.XLOOKUP(orders!C48,customers!$A$1:$A$1001,customers!$C$1:$C$1001,,0)=0,"",_xlfn.XLOOKUP(orders!C48,customers!$A$1:$A$1001,customers!$C$1:$C$1001,,0))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1"/>
        <v>63.249999999999993</v>
      </c>
      <c r="N48" t="str">
        <f t="shared" si="3"/>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_xlfn.XLOOKUP(orders!C49,customers!$A$1:$A$1001,customers!$B$1:$B$1001,,0)</f>
        <v>Arda Curley</v>
      </c>
      <c r="G49" s="2" t="str">
        <f>IF(_xlfn.XLOOKUP(orders!C49,customers!$A$1:$A$1001,customers!$C$1:$C$1001,,0)=0,"",_xlfn.XLOOKUP(orders!C49,customers!$A$1:$A$1001,customers!$C$1:$C$1001,,0))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1"/>
        <v>7.77</v>
      </c>
      <c r="N49" t="str">
        <f t="shared" si="3"/>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_xlfn.XLOOKUP(orders!C50,customers!$A$1:$A$1001,customers!$B$1:$B$1001,,0)</f>
        <v>Raynor McGilvary</v>
      </c>
      <c r="G50" s="2" t="str">
        <f>IF(_xlfn.XLOOKUP(orders!C50,customers!$A$1:$A$1001,customers!$C$1:$C$1001,,0)=0,"",_xlfn.XLOOKUP(orders!C50,customers!$A$1:$A$1001,customers!$C$1:$C$1001,,0))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1"/>
        <v>91.539999999999992</v>
      </c>
      <c r="N50" t="str">
        <f t="shared" si="3"/>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_xlfn.XLOOKUP(orders!C51,customers!$A$1:$A$1001,customers!$B$1:$B$1001,,0)</f>
        <v>Isis Pikett</v>
      </c>
      <c r="G51" s="2" t="str">
        <f>IF(_xlfn.XLOOKUP(orders!C51,customers!$A$1:$A$1001,customers!$C$1:$C$1001,,0)=0,"",_xlfn.XLOOKUP(orders!C51,customers!$A$1:$A$1001,customers!$C$1:$C$1001,,0))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1"/>
        <v>38.849999999999994</v>
      </c>
      <c r="N51" t="str">
        <f t="shared" si="3"/>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_xlfn.XLOOKUP(orders!C52,customers!$A$1:$A$1001,customers!$B$1:$B$1001,,0)</f>
        <v>Inger Bouldon</v>
      </c>
      <c r="G52" s="2" t="str">
        <f>IF(_xlfn.XLOOKUP(orders!C52,customers!$A$1:$A$1001,customers!$C$1:$C$1001,,0)=0,"",_xlfn.XLOOKUP(orders!C52,customers!$A$1:$A$1001,customers!$C$1:$C$1001,,0))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1"/>
        <v>15.54</v>
      </c>
      <c r="N52" t="str">
        <f t="shared" si="3"/>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_xlfn.XLOOKUP(orders!C53,customers!$A$1:$A$1001,customers!$B$1:$B$1001,,0)</f>
        <v>Karry Flanders</v>
      </c>
      <c r="G53" s="2" t="str">
        <f>IF(_xlfn.XLOOKUP(orders!C53,customers!$A$1:$A$1001,customers!$C$1:$C$1001,,0)=0,"",_xlfn.XLOOKUP(orders!C53,customers!$A$1:$A$1001,customers!$C$1:$C$1001,,0))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1"/>
        <v>145.82</v>
      </c>
      <c r="N53" t="str">
        <f t="shared" si="3"/>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_xlfn.XLOOKUP(orders!C54,customers!$A$1:$A$1001,customers!$B$1:$B$1001,,0)</f>
        <v>Hartley Mattioli</v>
      </c>
      <c r="G54" s="2" t="str">
        <f>IF(_xlfn.XLOOKUP(orders!C54,customers!$A$1:$A$1001,customers!$C$1:$C$1001,,0)=0,"",_xlfn.XLOOKUP(orders!C54,customers!$A$1:$A$1001,customers!$C$1:$C$1001,,0))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1"/>
        <v>29.849999999999998</v>
      </c>
      <c r="N54" t="str">
        <f t="shared" si="3"/>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_xlfn.XLOOKUP(orders!C55,customers!$A$1:$A$1001,customers!$B$1:$B$1001,,0)</f>
        <v>Hartley Mattioli</v>
      </c>
      <c r="G55" s="2" t="str">
        <f>IF(_xlfn.XLOOKUP(orders!C55,customers!$A$1:$A$1001,customers!$C$1:$C$1001,,0)=0,"",_xlfn.XLOOKUP(orders!C55,customers!$A$1:$A$1001,customers!$C$1:$C$1001,,0))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1"/>
        <v>72.91</v>
      </c>
      <c r="N55" t="str">
        <f t="shared" si="3"/>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_xlfn.XLOOKUP(orders!C56,customers!$A$1:$A$1001,customers!$B$1:$B$1001,,0)</f>
        <v>Archambault Gillard</v>
      </c>
      <c r="G56" s="2" t="str">
        <f>IF(_xlfn.XLOOKUP(orders!C56,customers!$A$1:$A$1001,customers!$C$1:$C$1001,,0)=0,"",_xlfn.XLOOKUP(orders!C56,customers!$A$1:$A$1001,customers!$C$1:$C$1001,,0))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1"/>
        <v>72.75</v>
      </c>
      <c r="N56" t="str">
        <f t="shared" si="3"/>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_xlfn.XLOOKUP(orders!C57,customers!$A$1:$A$1001,customers!$B$1:$B$1001,,0)</f>
        <v>Salomo Cushworth</v>
      </c>
      <c r="G57" s="2" t="str">
        <f>IF(_xlfn.XLOOKUP(orders!C57,customers!$A$1:$A$1001,customers!$C$1:$C$1001,,0)=0,"",_xlfn.XLOOKUP(orders!C57,customers!$A$1:$A$1001,customers!$C$1:$C$1001,,0))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1"/>
        <v>47.55</v>
      </c>
      <c r="N57" t="str">
        <f t="shared" si="3"/>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_xlfn.XLOOKUP(orders!C58,customers!$A$1:$A$1001,customers!$B$1:$B$1001,,0)</f>
        <v>Theda Grizard</v>
      </c>
      <c r="G58" s="2" t="str">
        <f>IF(_xlfn.XLOOKUP(orders!C58,customers!$A$1:$A$1001,customers!$C$1:$C$1001,,0)=0,"",_xlfn.XLOOKUP(orders!C58,customers!$A$1:$A$1001,customers!$C$1:$C$1001,,0))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1"/>
        <v>10.935</v>
      </c>
      <c r="N58" t="str">
        <f t="shared" si="3"/>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_xlfn.XLOOKUP(orders!C59,customers!$A$1:$A$1001,customers!$B$1:$B$1001,,0)</f>
        <v>Rozele Relton</v>
      </c>
      <c r="G59" s="2" t="str">
        <f>IF(_xlfn.XLOOKUP(orders!C59,customers!$A$1:$A$1001,customers!$C$1:$C$1001,,0)=0,"",_xlfn.XLOOKUP(orders!C59,customers!$A$1:$A$1001,customers!$C$1:$C$1001,,0))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1"/>
        <v>59.4</v>
      </c>
      <c r="N59" t="str">
        <f t="shared" si="3"/>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_xlfn.XLOOKUP(orders!C60,customers!$A$1:$A$1001,customers!$B$1:$B$1001,,0)</f>
        <v>Willa Rolling</v>
      </c>
      <c r="G60" s="2" t="str">
        <f>IF(_xlfn.XLOOKUP(orders!C60,customers!$A$1:$A$1001,customers!$C$1:$C$1001,,0)=0,"",_xlfn.XLOOKUP(orders!C60,customers!$A$1:$A$1001,customers!$C$1:$C$1001,,0))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1"/>
        <v>89.35499999999999</v>
      </c>
      <c r="N60" t="str">
        <f t="shared" si="3"/>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_xlfn.XLOOKUP(orders!C61,customers!$A$1:$A$1001,customers!$B$1:$B$1001,,0)</f>
        <v>Stanislaus Gilroy</v>
      </c>
      <c r="G61" s="2" t="str">
        <f>IF(_xlfn.XLOOKUP(orders!C61,customers!$A$1:$A$1001,customers!$C$1:$C$1001,,0)=0,"",_xlfn.XLOOKUP(orders!C61,customers!$A$1:$A$1001,customers!$C$1:$C$1001,,0))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1"/>
        <v>26.19</v>
      </c>
      <c r="N61" t="str">
        <f t="shared" si="3"/>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_xlfn.XLOOKUP(orders!C62,customers!$A$1:$A$1001,customers!$B$1:$B$1001,,0)</f>
        <v>Correy Cottingham</v>
      </c>
      <c r="G62" s="2" t="str">
        <f>IF(_xlfn.XLOOKUP(orders!C62,customers!$A$1:$A$1001,customers!$C$1:$C$1001,,0)=0,"",_xlfn.XLOOKUP(orders!C62,customers!$A$1:$A$1001,customers!$C$1:$C$1001,,0))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1"/>
        <v>114.42499999999998</v>
      </c>
      <c r="N62" t="str">
        <f t="shared" si="3"/>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_xlfn.XLOOKUP(orders!C63,customers!$A$1:$A$1001,customers!$B$1:$B$1001,,0)</f>
        <v>Pammi Endacott</v>
      </c>
      <c r="G63" s="2" t="str">
        <f>IF(_xlfn.XLOOKUP(orders!C63,customers!$A$1:$A$1001,customers!$C$1:$C$1001,,0)=0,"",_xlfn.XLOOKUP(orders!C63,customers!$A$1:$A$1001,customers!$C$1:$C$1001,,0))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1"/>
        <v>26.849999999999994</v>
      </c>
      <c r="N63" t="str">
        <f t="shared" si="3"/>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_xlfn.XLOOKUP(orders!C64,customers!$A$1:$A$1001,customers!$B$1:$B$1001,,0)</f>
        <v>Nona Linklater</v>
      </c>
      <c r="G64" s="2" t="str">
        <f>IF(_xlfn.XLOOKUP(orders!C64,customers!$A$1:$A$1001,customers!$C$1:$C$1001,,0)=0,"",_xlfn.XLOOKUP(orders!C64,customers!$A$1:$A$1001,customers!$C$1:$C$1001,,0))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1"/>
        <v>23.774999999999999</v>
      </c>
      <c r="N64" t="str">
        <f t="shared" si="3"/>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_xlfn.XLOOKUP(orders!C65,customers!$A$1:$A$1001,customers!$B$1:$B$1001,,0)</f>
        <v>Annadiane Dykes</v>
      </c>
      <c r="G65" s="2" t="str">
        <f>IF(_xlfn.XLOOKUP(orders!C65,customers!$A$1:$A$1001,customers!$C$1:$C$1001,,0)=0,"",_xlfn.XLOOKUP(orders!C65,customers!$A$1:$A$1001,customers!$C$1:$C$1001,,0))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1"/>
        <v>6.75</v>
      </c>
      <c r="N65" t="str">
        <f t="shared" si="3"/>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_xlfn.XLOOKUP(orders!C66,customers!$A$1:$A$1001,customers!$B$1:$B$1001,,0)</f>
        <v>Felecia Dodgson</v>
      </c>
      <c r="G66" s="2" t="str">
        <f>IF(_xlfn.XLOOKUP(orders!C66,customers!$A$1:$A$1001,customers!$C$1:$C$1001,,0)=0,"",_xlfn.XLOOKUP(orders!C66,customers!$A$1:$A$1001,customers!$C$1:$C$1001,,0))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1"/>
        <v>35.82</v>
      </c>
      <c r="N66" t="str">
        <f t="shared" si="3"/>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_xlfn.XLOOKUP(orders!C67,customers!$A$1:$A$1001,customers!$B$1:$B$1001,,0)</f>
        <v>Angelia Cockrem</v>
      </c>
      <c r="G67" s="2" t="str">
        <f>IF(_xlfn.XLOOKUP(orders!C67,customers!$A$1:$A$1001,customers!$C$1:$C$1001,,0)=0,"",_xlfn.XLOOKUP(orders!C67,customers!$A$1:$A$1001,customers!$C$1:$C$1001,,0))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4">L67*E67</f>
        <v>82.339999999999989</v>
      </c>
      <c r="N67" t="str">
        <f t="shared" si="3"/>
        <v>Robusta</v>
      </c>
      <c r="O67" t="str">
        <f t="shared" ref="O67:O130" si="5">IF(J67="M","Medium",IF(J67= "L", "Light",IF(J67="D", "Dark","")))</f>
        <v>Dark</v>
      </c>
      <c r="P67" t="str">
        <f>_xlfn.XLOOKUP(orders[[#This Row],[Customer ID]],customers!$A$1:$A$1001,customers!$I$1:$I$1001,,0)</f>
        <v>Yes</v>
      </c>
    </row>
    <row r="68" spans="1:16" x14ac:dyDescent="0.25">
      <c r="A68" s="2" t="s">
        <v>860</v>
      </c>
      <c r="B68" s="3">
        <v>44666</v>
      </c>
      <c r="C68" s="2" t="s">
        <v>861</v>
      </c>
      <c r="D68" t="s">
        <v>6173</v>
      </c>
      <c r="E68" s="2">
        <v>1</v>
      </c>
      <c r="F68" s="2" t="str">
        <f>_xlfn.XLOOKUP(orders!C68,customers!$A$1:$A$1001,customers!$B$1:$B$1001,,0)</f>
        <v>Belvia Umpleby</v>
      </c>
      <c r="G68" s="2" t="str">
        <f>IF(_xlfn.XLOOKUP(orders!C68,customers!$A$1:$A$1001,customers!$C$1:$C$1001,,0)=0,"",_xlfn.XLOOKUP(orders!C68,customers!$A$1:$A$1001,customers!$C$1:$C$1001,,0))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4"/>
        <v>7.169999999999999</v>
      </c>
      <c r="N68" t="str">
        <f t="shared" si="3"/>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_xlfn.XLOOKUP(orders!C69,customers!$A$1:$A$1001,customers!$B$1:$B$1001,,0)</f>
        <v>Nat Saleway</v>
      </c>
      <c r="G69" s="2" t="str">
        <f>IF(_xlfn.XLOOKUP(orders!C69,customers!$A$1:$A$1001,customers!$C$1:$C$1001,,0)=0,"",_xlfn.XLOOKUP(orders!C69,customers!$A$1:$A$1001,customers!$C$1:$C$1001,,0))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4"/>
        <v>9.51</v>
      </c>
      <c r="N69" t="str">
        <f t="shared" si="3"/>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_xlfn.XLOOKUP(orders!C70,customers!$A$1:$A$1001,customers!$B$1:$B$1001,,0)</f>
        <v>Hayward Goulter</v>
      </c>
      <c r="G70" s="2" t="str">
        <f>IF(_xlfn.XLOOKUP(orders!C70,customers!$A$1:$A$1001,customers!$C$1:$C$1001,,0)=0,"",_xlfn.XLOOKUP(orders!C70,customers!$A$1:$A$1001,customers!$C$1:$C$1001,,0))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4"/>
        <v>2.9849999999999999</v>
      </c>
      <c r="N70" t="str">
        <f t="shared" si="3"/>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_xlfn.XLOOKUP(orders!C71,customers!$A$1:$A$1001,customers!$B$1:$B$1001,,0)</f>
        <v>Gay Rizzello</v>
      </c>
      <c r="G71" s="2" t="str">
        <f>IF(_xlfn.XLOOKUP(orders!C71,customers!$A$1:$A$1001,customers!$C$1:$C$1001,,0)=0,"",_xlfn.XLOOKUP(orders!C71,customers!$A$1:$A$1001,customers!$C$1:$C$1001,,0))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4"/>
        <v>59.699999999999996</v>
      </c>
      <c r="N71" t="str">
        <f t="shared" si="3"/>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_xlfn.XLOOKUP(orders!C72,customers!$A$1:$A$1001,customers!$B$1:$B$1001,,0)</f>
        <v>Shannon List</v>
      </c>
      <c r="G72" s="2" t="str">
        <f>IF(_xlfn.XLOOKUP(orders!C72,customers!$A$1:$A$1001,customers!$C$1:$C$1001,,0)=0,"",_xlfn.XLOOKUP(orders!C72,customers!$A$1:$A$1001,customers!$C$1:$C$1001,,0))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4"/>
        <v>136.61999999999998</v>
      </c>
      <c r="N72" t="str">
        <f t="shared" ref="N72:N135" si="6">IF(I72="Rob","Robusta",IF(I72="Exc","Excelsa",IF(I72="Ara","Arabica",IF(I72="Lib","Liberica"))))</f>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_xlfn.XLOOKUP(orders!C73,customers!$A$1:$A$1001,customers!$B$1:$B$1001,,0)</f>
        <v>Shirlene Edmondson</v>
      </c>
      <c r="G73" s="2" t="str">
        <f>IF(_xlfn.XLOOKUP(orders!C73,customers!$A$1:$A$1001,customers!$C$1:$C$1001,,0)=0,"",_xlfn.XLOOKUP(orders!C73,customers!$A$1:$A$1001,customers!$C$1:$C$1001,,0))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4"/>
        <v>9.51</v>
      </c>
      <c r="N73" t="str">
        <f t="shared" si="6"/>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_xlfn.XLOOKUP(orders!C74,customers!$A$1:$A$1001,customers!$B$1:$B$1001,,0)</f>
        <v>Aurlie McCarl</v>
      </c>
      <c r="G74" s="2" t="str">
        <f>IF(_xlfn.XLOOKUP(orders!C74,customers!$A$1:$A$1001,customers!$C$1:$C$1001,,0)=0,"",_xlfn.XLOOKUP(orders!C74,customers!$A$1:$A$1001,customers!$C$1:$C$1001,,0))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4"/>
        <v>77.624999999999986</v>
      </c>
      <c r="N74" t="str">
        <f t="shared" si="6"/>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_xlfn.XLOOKUP(orders!C75,customers!$A$1:$A$1001,customers!$B$1:$B$1001,,0)</f>
        <v>Alikee Carryer</v>
      </c>
      <c r="G75" s="2" t="str">
        <f>IF(_xlfn.XLOOKUP(orders!C75,customers!$A$1:$A$1001,customers!$C$1:$C$1001,,0)=0,"",_xlfn.XLOOKUP(orders!C75,customers!$A$1:$A$1001,customers!$C$1:$C$1001,,0))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4"/>
        <v>21.825000000000003</v>
      </c>
      <c r="N75" t="str">
        <f t="shared" si="6"/>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_xlfn.XLOOKUP(orders!C76,customers!$A$1:$A$1001,customers!$B$1:$B$1001,,0)</f>
        <v>Jennifer Rangall</v>
      </c>
      <c r="G76" s="2" t="str">
        <f>IF(_xlfn.XLOOKUP(orders!C76,customers!$A$1:$A$1001,customers!$C$1:$C$1001,,0)=0,"",_xlfn.XLOOKUP(orders!C76,customers!$A$1:$A$1001,customers!$C$1:$C$1001,,0))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4"/>
        <v>17.82</v>
      </c>
      <c r="N76" t="str">
        <f t="shared" si="6"/>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_xlfn.XLOOKUP(orders!C77,customers!$A$1:$A$1001,customers!$B$1:$B$1001,,0)</f>
        <v>Kipper Boorn</v>
      </c>
      <c r="G77" s="2" t="str">
        <f>IF(_xlfn.XLOOKUP(orders!C77,customers!$A$1:$A$1001,customers!$C$1:$C$1001,,0)=0,"",_xlfn.XLOOKUP(orders!C77,customers!$A$1:$A$1001,customers!$C$1:$C$1001,,0))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4"/>
        <v>53.699999999999996</v>
      </c>
      <c r="N77" t="str">
        <f t="shared" si="6"/>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_xlfn.XLOOKUP(orders!C78,customers!$A$1:$A$1001,customers!$B$1:$B$1001,,0)</f>
        <v>Melania Beadle</v>
      </c>
      <c r="G78" s="2" t="str">
        <f>IF(_xlfn.XLOOKUP(orders!C78,customers!$A$1:$A$1001,customers!$C$1:$C$1001,,0)=0,"",_xlfn.XLOOKUP(orders!C78,customers!$A$1:$A$1001,customers!$C$1:$C$1001,,0))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4"/>
        <v>3.5849999999999995</v>
      </c>
      <c r="N78" t="str">
        <f t="shared" si="6"/>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_xlfn.XLOOKUP(orders!C79,customers!$A$1:$A$1001,customers!$B$1:$B$1001,,0)</f>
        <v>Colene Elgey</v>
      </c>
      <c r="G79" s="2" t="str">
        <f>IF(_xlfn.XLOOKUP(orders!C79,customers!$A$1:$A$1001,customers!$C$1:$C$1001,,0)=0,"",_xlfn.XLOOKUP(orders!C79,customers!$A$1:$A$1001,customers!$C$1:$C$1001,,0))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4"/>
        <v>7.29</v>
      </c>
      <c r="N79" t="str">
        <f t="shared" si="6"/>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_xlfn.XLOOKUP(orders!C80,customers!$A$1:$A$1001,customers!$B$1:$B$1001,,0)</f>
        <v>Lothaire Mizzi</v>
      </c>
      <c r="G80" s="2" t="str">
        <f>IF(_xlfn.XLOOKUP(orders!C80,customers!$A$1:$A$1001,customers!$C$1:$C$1001,,0)=0,"",_xlfn.XLOOKUP(orders!C80,customers!$A$1:$A$1001,customers!$C$1:$C$1001,,0))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4"/>
        <v>40.5</v>
      </c>
      <c r="N80" t="str">
        <f t="shared" si="6"/>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_xlfn.XLOOKUP(orders!C81,customers!$A$1:$A$1001,customers!$B$1:$B$1001,,0)</f>
        <v>Cletis Giacomazzo</v>
      </c>
      <c r="G81" s="2" t="str">
        <f>IF(_xlfn.XLOOKUP(orders!C81,customers!$A$1:$A$1001,customers!$C$1:$C$1001,,0)=0,"",_xlfn.XLOOKUP(orders!C81,customers!$A$1:$A$1001,customers!$C$1:$C$1001,,0))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4"/>
        <v>47.8</v>
      </c>
      <c r="N81" t="str">
        <f t="shared" si="6"/>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_xlfn.XLOOKUP(orders!C82,customers!$A$1:$A$1001,customers!$B$1:$B$1001,,0)</f>
        <v>Ami Arnow</v>
      </c>
      <c r="G82" s="2" t="str">
        <f>IF(_xlfn.XLOOKUP(orders!C82,customers!$A$1:$A$1001,customers!$C$1:$C$1001,,0)=0,"",_xlfn.XLOOKUP(orders!C82,customers!$A$1:$A$1001,customers!$C$1:$C$1001,,0))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4"/>
        <v>38.849999999999994</v>
      </c>
      <c r="N82" t="str">
        <f t="shared" si="6"/>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_xlfn.XLOOKUP(orders!C83,customers!$A$1:$A$1001,customers!$B$1:$B$1001,,0)</f>
        <v>Sheppard Yann</v>
      </c>
      <c r="G83" s="2" t="str">
        <f>IF(_xlfn.XLOOKUP(orders!C83,customers!$A$1:$A$1001,customers!$C$1:$C$1001,,0)=0,"",_xlfn.XLOOKUP(orders!C83,customers!$A$1:$A$1001,customers!$C$1:$C$1001,,0))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4"/>
        <v>109.36499999999999</v>
      </c>
      <c r="N83" t="str">
        <f t="shared" si="6"/>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_xlfn.XLOOKUP(orders!C84,customers!$A$1:$A$1001,customers!$B$1:$B$1001,,0)</f>
        <v>Bunny Naulls</v>
      </c>
      <c r="G84" s="2" t="str">
        <f>IF(_xlfn.XLOOKUP(orders!C84,customers!$A$1:$A$1001,customers!$C$1:$C$1001,,0)=0,"",_xlfn.XLOOKUP(orders!C84,customers!$A$1:$A$1001,customers!$C$1:$C$1001,,0))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4"/>
        <v>100.39499999999998</v>
      </c>
      <c r="N84" t="str">
        <f t="shared" si="6"/>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_xlfn.XLOOKUP(orders!C85,customers!$A$1:$A$1001,customers!$B$1:$B$1001,,0)</f>
        <v>Hally Lorait</v>
      </c>
      <c r="G85" s="2" t="str">
        <f>IF(_xlfn.XLOOKUP(orders!C85,customers!$A$1:$A$1001,customers!$C$1:$C$1001,,0)=0,"",_xlfn.XLOOKUP(orders!C85,customers!$A$1:$A$1001,customers!$C$1:$C$1001,,0))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4"/>
        <v>82.339999999999989</v>
      </c>
      <c r="N85" t="str">
        <f t="shared" si="6"/>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_xlfn.XLOOKUP(orders!C86,customers!$A$1:$A$1001,customers!$B$1:$B$1001,,0)</f>
        <v>Zaccaria Sherewood</v>
      </c>
      <c r="G86" s="2" t="str">
        <f>IF(_xlfn.XLOOKUP(orders!C86,customers!$A$1:$A$1001,customers!$C$1:$C$1001,,0)=0,"",_xlfn.XLOOKUP(orders!C86,customers!$A$1:$A$1001,customers!$C$1:$C$1001,,0))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4"/>
        <v>9.51</v>
      </c>
      <c r="N86" t="str">
        <f t="shared" si="6"/>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_xlfn.XLOOKUP(orders!C87,customers!$A$1:$A$1001,customers!$B$1:$B$1001,,0)</f>
        <v>Jeffrey Dufaire</v>
      </c>
      <c r="G87" s="2" t="str">
        <f>IF(_xlfn.XLOOKUP(orders!C87,customers!$A$1:$A$1001,customers!$C$1:$C$1001,,0)=0,"",_xlfn.XLOOKUP(orders!C87,customers!$A$1:$A$1001,customers!$C$1:$C$1001,,0))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4"/>
        <v>89.35499999999999</v>
      </c>
      <c r="N87" t="str">
        <f t="shared" si="6"/>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_xlfn.XLOOKUP(orders!C88,customers!$A$1:$A$1001,customers!$B$1:$B$1001,,0)</f>
        <v>Jeffrey Dufaire</v>
      </c>
      <c r="G88" s="2" t="str">
        <f>IF(_xlfn.XLOOKUP(orders!C88,customers!$A$1:$A$1001,customers!$C$1:$C$1001,,0)=0,"",_xlfn.XLOOKUP(orders!C88,customers!$A$1:$A$1001,customers!$C$1:$C$1001,,0))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4"/>
        <v>11.94</v>
      </c>
      <c r="N88" t="str">
        <f t="shared" si="6"/>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_xlfn.XLOOKUP(orders!C89,customers!$A$1:$A$1001,customers!$B$1:$B$1001,,0)</f>
        <v>Beitris Keaveney</v>
      </c>
      <c r="G89" s="2" t="str">
        <f>IF(_xlfn.XLOOKUP(orders!C89,customers!$A$1:$A$1001,customers!$C$1:$C$1001,,0)=0,"",_xlfn.XLOOKUP(orders!C89,customers!$A$1:$A$1001,customers!$C$1:$C$1001,,0))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4"/>
        <v>33.75</v>
      </c>
      <c r="N89" t="str">
        <f t="shared" si="6"/>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_xlfn.XLOOKUP(orders!C90,customers!$A$1:$A$1001,customers!$B$1:$B$1001,,0)</f>
        <v>Elna Grise</v>
      </c>
      <c r="G90" s="2" t="str">
        <f>IF(_xlfn.XLOOKUP(orders!C90,customers!$A$1:$A$1001,customers!$C$1:$C$1001,,0)=0,"",_xlfn.XLOOKUP(orders!C90,customers!$A$1:$A$1001,customers!$C$1:$C$1001,,0))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4"/>
        <v>35.849999999999994</v>
      </c>
      <c r="N90" t="str">
        <f t="shared" si="6"/>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_xlfn.XLOOKUP(orders!C91,customers!$A$1:$A$1001,customers!$B$1:$B$1001,,0)</f>
        <v>Torie Gottelier</v>
      </c>
      <c r="G91" s="2" t="str">
        <f>IF(_xlfn.XLOOKUP(orders!C91,customers!$A$1:$A$1001,customers!$C$1:$C$1001,,0)=0,"",_xlfn.XLOOKUP(orders!C91,customers!$A$1:$A$1001,customers!$C$1:$C$1001,,0))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4"/>
        <v>77.699999999999989</v>
      </c>
      <c r="N91" t="str">
        <f t="shared" si="6"/>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_xlfn.XLOOKUP(orders!C92,customers!$A$1:$A$1001,customers!$B$1:$B$1001,,0)</f>
        <v>Loydie Langlais</v>
      </c>
      <c r="G92" s="2" t="str">
        <f>IF(_xlfn.XLOOKUP(orders!C92,customers!$A$1:$A$1001,customers!$C$1:$C$1001,,0)=0,"",_xlfn.XLOOKUP(orders!C92,customers!$A$1:$A$1001,customers!$C$1:$C$1001,,0))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4"/>
        <v>51.8</v>
      </c>
      <c r="N92" t="str">
        <f t="shared" si="6"/>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_xlfn.XLOOKUP(orders!C93,customers!$A$1:$A$1001,customers!$B$1:$B$1001,,0)</f>
        <v>Adham Greenhead</v>
      </c>
      <c r="G93" s="2" t="str">
        <f>IF(_xlfn.XLOOKUP(orders!C93,customers!$A$1:$A$1001,customers!$C$1:$C$1001,,0)=0,"",_xlfn.XLOOKUP(orders!C93,customers!$A$1:$A$1001,customers!$C$1:$C$1001,,0))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4"/>
        <v>103.49999999999999</v>
      </c>
      <c r="N93" t="str">
        <f t="shared" si="6"/>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_xlfn.XLOOKUP(orders!C94,customers!$A$1:$A$1001,customers!$B$1:$B$1001,,0)</f>
        <v>Hamish MacSherry</v>
      </c>
      <c r="G94" s="2" t="str">
        <f>IF(_xlfn.XLOOKUP(orders!C94,customers!$A$1:$A$1001,customers!$C$1:$C$1001,,0)=0,"",_xlfn.XLOOKUP(orders!C94,customers!$A$1:$A$1001,customers!$C$1:$C$1001,,0))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4"/>
        <v>44.55</v>
      </c>
      <c r="N94" t="str">
        <f t="shared" si="6"/>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_xlfn.XLOOKUP(orders!C95,customers!$A$1:$A$1001,customers!$B$1:$B$1001,,0)</f>
        <v>Else Langcaster</v>
      </c>
      <c r="G95" s="2" t="str">
        <f>IF(_xlfn.XLOOKUP(orders!C95,customers!$A$1:$A$1001,customers!$C$1:$C$1001,,0)=0,"",_xlfn.XLOOKUP(orders!C95,customers!$A$1:$A$1001,customers!$C$1:$C$1001,,0))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4"/>
        <v>35.64</v>
      </c>
      <c r="N95" t="str">
        <f t="shared" si="6"/>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_xlfn.XLOOKUP(orders!C96,customers!$A$1:$A$1001,customers!$B$1:$B$1001,,0)</f>
        <v>Rudy Farquharson</v>
      </c>
      <c r="G96" s="2" t="str">
        <f>IF(_xlfn.XLOOKUP(orders!C96,customers!$A$1:$A$1001,customers!$C$1:$C$1001,,0)=0,"",_xlfn.XLOOKUP(orders!C96,customers!$A$1:$A$1001,customers!$C$1:$C$1001,,0))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4"/>
        <v>17.91</v>
      </c>
      <c r="N96" t="str">
        <f t="shared" si="6"/>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_xlfn.XLOOKUP(orders!C97,customers!$A$1:$A$1001,customers!$B$1:$B$1001,,0)</f>
        <v>Norene Magauran</v>
      </c>
      <c r="G97" s="2" t="str">
        <f>IF(_xlfn.XLOOKUP(orders!C97,customers!$A$1:$A$1001,customers!$C$1:$C$1001,,0)=0,"",_xlfn.XLOOKUP(orders!C97,customers!$A$1:$A$1001,customers!$C$1:$C$1001,,0))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4"/>
        <v>155.24999999999997</v>
      </c>
      <c r="N97" t="str">
        <f t="shared" si="6"/>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_xlfn.XLOOKUP(orders!C98,customers!$A$1:$A$1001,customers!$B$1:$B$1001,,0)</f>
        <v>Vicki Kirdsch</v>
      </c>
      <c r="G98" s="2" t="str">
        <f>IF(_xlfn.XLOOKUP(orders!C98,customers!$A$1:$A$1001,customers!$C$1:$C$1001,,0)=0,"",_xlfn.XLOOKUP(orders!C98,customers!$A$1:$A$1001,customers!$C$1:$C$1001,,0))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4"/>
        <v>5.97</v>
      </c>
      <c r="N98" t="str">
        <f t="shared" si="6"/>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_xlfn.XLOOKUP(orders!C99,customers!$A$1:$A$1001,customers!$B$1:$B$1001,,0)</f>
        <v>Ilysa Whapple</v>
      </c>
      <c r="G99" s="2" t="str">
        <f>IF(_xlfn.XLOOKUP(orders!C99,customers!$A$1:$A$1001,customers!$C$1:$C$1001,,0)=0,"",_xlfn.XLOOKUP(orders!C99,customers!$A$1:$A$1001,customers!$C$1:$C$1001,,0))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4"/>
        <v>13.5</v>
      </c>
      <c r="N99" t="str">
        <f t="shared" si="6"/>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_xlfn.XLOOKUP(orders!C100,customers!$A$1:$A$1001,customers!$B$1:$B$1001,,0)</f>
        <v>Ruy Cancellieri</v>
      </c>
      <c r="G100" s="2" t="str">
        <f>IF(_xlfn.XLOOKUP(orders!C100,customers!$A$1:$A$1001,customers!$C$1:$C$1001,,0)=0,"",_xlfn.XLOOKUP(orders!C100,customers!$A$1:$A$1001,customers!$C$1:$C$1001,,0))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4"/>
        <v>2.9849999999999999</v>
      </c>
      <c r="N100" t="str">
        <f t="shared" si="6"/>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_xlfn.XLOOKUP(orders!C101,customers!$A$1:$A$1001,customers!$B$1:$B$1001,,0)</f>
        <v>Aube Follett</v>
      </c>
      <c r="G101" s="2" t="str">
        <f>IF(_xlfn.XLOOKUP(orders!C101,customers!$A$1:$A$1001,customers!$C$1:$C$1001,,0)=0,"",_xlfn.XLOOKUP(orders!C101,customers!$A$1:$A$1001,customers!$C$1:$C$1001,,0))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4"/>
        <v>13.095000000000001</v>
      </c>
      <c r="N101" t="str">
        <f t="shared" si="6"/>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_xlfn.XLOOKUP(orders!C102,customers!$A$1:$A$1001,customers!$B$1:$B$1001,,0)</f>
        <v>Rudiger Di Bartolomeo</v>
      </c>
      <c r="G102" s="2" t="str">
        <f>IF(_xlfn.XLOOKUP(orders!C102,customers!$A$1:$A$1001,customers!$C$1:$C$1001,,0)=0,"",_xlfn.XLOOKUP(orders!C102,customers!$A$1:$A$1001,customers!$C$1:$C$1001,,0))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4"/>
        <v>7.77</v>
      </c>
      <c r="N102" t="str">
        <f t="shared" si="6"/>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_xlfn.XLOOKUP(orders!C103,customers!$A$1:$A$1001,customers!$B$1:$B$1001,,0)</f>
        <v>Nickey Youles</v>
      </c>
      <c r="G103" s="2" t="str">
        <f>IF(_xlfn.XLOOKUP(orders!C103,customers!$A$1:$A$1001,customers!$C$1:$C$1001,,0)=0,"",_xlfn.XLOOKUP(orders!C103,customers!$A$1:$A$1001,customers!$C$1:$C$1001,,0))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4"/>
        <v>148.92499999999998</v>
      </c>
      <c r="N103" t="str">
        <f t="shared" si="6"/>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_xlfn.XLOOKUP(orders!C104,customers!$A$1:$A$1001,customers!$B$1:$B$1001,,0)</f>
        <v>Dyanna Aizikovitz</v>
      </c>
      <c r="G104" s="2" t="str">
        <f>IF(_xlfn.XLOOKUP(orders!C104,customers!$A$1:$A$1001,customers!$C$1:$C$1001,,0)=0,"",_xlfn.XLOOKUP(orders!C104,customers!$A$1:$A$1001,customers!$C$1:$C$1001,,0))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4"/>
        <v>38.849999999999994</v>
      </c>
      <c r="N104" t="str">
        <f t="shared" si="6"/>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_xlfn.XLOOKUP(orders!C105,customers!$A$1:$A$1001,customers!$B$1:$B$1001,,0)</f>
        <v>Bram Revel</v>
      </c>
      <c r="G105" s="2" t="str">
        <f>IF(_xlfn.XLOOKUP(orders!C105,customers!$A$1:$A$1001,customers!$C$1:$C$1001,,0)=0,"",_xlfn.XLOOKUP(orders!C105,customers!$A$1:$A$1001,customers!$C$1:$C$1001,,0))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4"/>
        <v>11.94</v>
      </c>
      <c r="N105" t="str">
        <f t="shared" si="6"/>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_xlfn.XLOOKUP(orders!C106,customers!$A$1:$A$1001,customers!$B$1:$B$1001,,0)</f>
        <v>Emiline Priddis</v>
      </c>
      <c r="G106" s="2" t="str">
        <f>IF(_xlfn.XLOOKUP(orders!C106,customers!$A$1:$A$1001,customers!$C$1:$C$1001,,0)=0,"",_xlfn.XLOOKUP(orders!C106,customers!$A$1:$A$1001,customers!$C$1:$C$1001,,0))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4"/>
        <v>87.300000000000011</v>
      </c>
      <c r="N106" t="str">
        <f t="shared" si="6"/>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_xlfn.XLOOKUP(orders!C107,customers!$A$1:$A$1001,customers!$B$1:$B$1001,,0)</f>
        <v>Queenie Veel</v>
      </c>
      <c r="G107" s="2" t="str">
        <f>IF(_xlfn.XLOOKUP(orders!C107,customers!$A$1:$A$1001,customers!$C$1:$C$1001,,0)=0,"",_xlfn.XLOOKUP(orders!C107,customers!$A$1:$A$1001,customers!$C$1:$C$1001,,0))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4"/>
        <v>40.5</v>
      </c>
      <c r="N107" t="str">
        <f t="shared" si="6"/>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_xlfn.XLOOKUP(orders!C108,customers!$A$1:$A$1001,customers!$B$1:$B$1001,,0)</f>
        <v>Lind Conyers</v>
      </c>
      <c r="G108" s="2" t="str">
        <f>IF(_xlfn.XLOOKUP(orders!C108,customers!$A$1:$A$1001,customers!$C$1:$C$1001,,0)=0,"",_xlfn.XLOOKUP(orders!C108,customers!$A$1:$A$1001,customers!$C$1:$C$1001,,0))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4"/>
        <v>24.3</v>
      </c>
      <c r="N108" t="str">
        <f t="shared" si="6"/>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_xlfn.XLOOKUP(orders!C109,customers!$A$1:$A$1001,customers!$B$1:$B$1001,,0)</f>
        <v>Pen Wye</v>
      </c>
      <c r="G109" s="2" t="str">
        <f>IF(_xlfn.XLOOKUP(orders!C109,customers!$A$1:$A$1001,customers!$C$1:$C$1001,,0)=0,"",_xlfn.XLOOKUP(orders!C109,customers!$A$1:$A$1001,customers!$C$1:$C$1001,,0))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4"/>
        <v>17.91</v>
      </c>
      <c r="N109" t="str">
        <f t="shared" si="6"/>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_xlfn.XLOOKUP(orders!C110,customers!$A$1:$A$1001,customers!$B$1:$B$1001,,0)</f>
        <v>Isahella Hagland</v>
      </c>
      <c r="G110" s="2" t="str">
        <f>IF(_xlfn.XLOOKUP(orders!C110,customers!$A$1:$A$1001,customers!$C$1:$C$1001,,0)=0,"",_xlfn.XLOOKUP(orders!C110,customers!$A$1:$A$1001,customers!$C$1:$C$1001,,0))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4"/>
        <v>27</v>
      </c>
      <c r="N110" t="str">
        <f t="shared" si="6"/>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_xlfn.XLOOKUP(orders!C111,customers!$A$1:$A$1001,customers!$B$1:$B$1001,,0)</f>
        <v>Terry Sheryn</v>
      </c>
      <c r="G111" s="2" t="str">
        <f>IF(_xlfn.XLOOKUP(orders!C111,customers!$A$1:$A$1001,customers!$C$1:$C$1001,,0)=0,"",_xlfn.XLOOKUP(orders!C111,customers!$A$1:$A$1001,customers!$C$1:$C$1001,,0))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4"/>
        <v>7.77</v>
      </c>
      <c r="N111" t="str">
        <f t="shared" si="6"/>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_xlfn.XLOOKUP(orders!C112,customers!$A$1:$A$1001,customers!$B$1:$B$1001,,0)</f>
        <v>Marie-jeanne Redgrave</v>
      </c>
      <c r="G112" s="2" t="str">
        <f>IF(_xlfn.XLOOKUP(orders!C112,customers!$A$1:$A$1001,customers!$C$1:$C$1001,,0)=0,"",_xlfn.XLOOKUP(orders!C112,customers!$A$1:$A$1001,customers!$C$1:$C$1001,,0))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4"/>
        <v>13.365</v>
      </c>
      <c r="N112" t="str">
        <f t="shared" si="6"/>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_xlfn.XLOOKUP(orders!C113,customers!$A$1:$A$1001,customers!$B$1:$B$1001,,0)</f>
        <v>Betty Fominov</v>
      </c>
      <c r="G113" s="2" t="str">
        <f>IF(_xlfn.XLOOKUP(orders!C113,customers!$A$1:$A$1001,customers!$C$1:$C$1001,,0)=0,"",_xlfn.XLOOKUP(orders!C113,customers!$A$1:$A$1001,customers!$C$1:$C$1001,,0))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4"/>
        <v>26.849999999999994</v>
      </c>
      <c r="N113" t="str">
        <f t="shared" si="6"/>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_xlfn.XLOOKUP(orders!C114,customers!$A$1:$A$1001,customers!$B$1:$B$1001,,0)</f>
        <v>Shawnee Critchlow</v>
      </c>
      <c r="G114" s="2" t="str">
        <f>IF(_xlfn.XLOOKUP(orders!C114,customers!$A$1:$A$1001,customers!$C$1:$C$1001,,0)=0,"",_xlfn.XLOOKUP(orders!C114,customers!$A$1:$A$1001,customers!$C$1:$C$1001,,0))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4"/>
        <v>11.25</v>
      </c>
      <c r="N114" t="str">
        <f t="shared" si="6"/>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_xlfn.XLOOKUP(orders!C115,customers!$A$1:$A$1001,customers!$B$1:$B$1001,,0)</f>
        <v>Merrel Steptow</v>
      </c>
      <c r="G115" s="2" t="str">
        <f>IF(_xlfn.XLOOKUP(orders!C115,customers!$A$1:$A$1001,customers!$C$1:$C$1001,,0)=0,"",_xlfn.XLOOKUP(orders!C115,customers!$A$1:$A$1001,customers!$C$1:$C$1001,,0))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4"/>
        <v>14.55</v>
      </c>
      <c r="N115" t="str">
        <f t="shared" si="6"/>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_xlfn.XLOOKUP(orders!C116,customers!$A$1:$A$1001,customers!$B$1:$B$1001,,0)</f>
        <v>Carmina Hubbuck</v>
      </c>
      <c r="G116" s="2" t="str">
        <f>IF(_xlfn.XLOOKUP(orders!C116,customers!$A$1:$A$1001,customers!$C$1:$C$1001,,0)=0,"",_xlfn.XLOOKUP(orders!C116,customers!$A$1:$A$1001,customers!$C$1:$C$1001,,0))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4"/>
        <v>14.339999999999998</v>
      </c>
      <c r="N116" t="str">
        <f t="shared" si="6"/>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_xlfn.XLOOKUP(orders!C117,customers!$A$1:$A$1001,customers!$B$1:$B$1001,,0)</f>
        <v>Ingeberg Mulliner</v>
      </c>
      <c r="G117" s="2" t="str">
        <f>IF(_xlfn.XLOOKUP(orders!C117,customers!$A$1:$A$1001,customers!$C$1:$C$1001,,0)=0,"",_xlfn.XLOOKUP(orders!C117,customers!$A$1:$A$1001,customers!$C$1:$C$1001,,0))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4"/>
        <v>15.85</v>
      </c>
      <c r="N117" t="str">
        <f t="shared" si="6"/>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_xlfn.XLOOKUP(orders!C118,customers!$A$1:$A$1001,customers!$B$1:$B$1001,,0)</f>
        <v>Geneva Standley</v>
      </c>
      <c r="G118" s="2" t="str">
        <f>IF(_xlfn.XLOOKUP(orders!C118,customers!$A$1:$A$1001,customers!$C$1:$C$1001,,0)=0,"",_xlfn.XLOOKUP(orders!C118,customers!$A$1:$A$1001,customers!$C$1:$C$1001,,0))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4"/>
        <v>19.02</v>
      </c>
      <c r="N118" t="str">
        <f t="shared" si="6"/>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_xlfn.XLOOKUP(orders!C119,customers!$A$1:$A$1001,customers!$B$1:$B$1001,,0)</f>
        <v>Brook Drage</v>
      </c>
      <c r="G119" s="2" t="str">
        <f>IF(_xlfn.XLOOKUP(orders!C119,customers!$A$1:$A$1001,customers!$C$1:$C$1001,,0)=0,"",_xlfn.XLOOKUP(orders!C119,customers!$A$1:$A$1001,customers!$C$1:$C$1001,,0))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4"/>
        <v>38.04</v>
      </c>
      <c r="N119" t="str">
        <f t="shared" si="6"/>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_xlfn.XLOOKUP(orders!C120,customers!$A$1:$A$1001,customers!$B$1:$B$1001,,0)</f>
        <v>Muffin Yallop</v>
      </c>
      <c r="G120" s="2" t="str">
        <f>IF(_xlfn.XLOOKUP(orders!C120,customers!$A$1:$A$1001,customers!$C$1:$C$1001,,0)=0,"",_xlfn.XLOOKUP(orders!C120,customers!$A$1:$A$1001,customers!$C$1:$C$1001,,0))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4"/>
        <v>21.87</v>
      </c>
      <c r="N120" t="str">
        <f t="shared" si="6"/>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_xlfn.XLOOKUP(orders!C121,customers!$A$1:$A$1001,customers!$B$1:$B$1001,,0)</f>
        <v>Cordi Switsur</v>
      </c>
      <c r="G121" s="2" t="str">
        <f>IF(_xlfn.XLOOKUP(orders!C121,customers!$A$1:$A$1001,customers!$C$1:$C$1001,,0)=0,"",_xlfn.XLOOKUP(orders!C121,customers!$A$1:$A$1001,customers!$C$1:$C$1001,,0))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4"/>
        <v>4.125</v>
      </c>
      <c r="N121" t="str">
        <f t="shared" si="6"/>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_xlfn.XLOOKUP(orders!C122,customers!$A$1:$A$1001,customers!$B$1:$B$1001,,0)</f>
        <v>Cordi Switsur</v>
      </c>
      <c r="G122" s="2" t="str">
        <f>IF(_xlfn.XLOOKUP(orders!C122,customers!$A$1:$A$1001,customers!$C$1:$C$1001,,0)=0,"",_xlfn.XLOOKUP(orders!C122,customers!$A$1:$A$1001,customers!$C$1:$C$1001,,0))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4"/>
        <v>3.8849999999999998</v>
      </c>
      <c r="N122" t="str">
        <f t="shared" si="6"/>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_xlfn.XLOOKUP(orders!C123,customers!$A$1:$A$1001,customers!$B$1:$B$1001,,0)</f>
        <v>Cordi Switsur</v>
      </c>
      <c r="G123" s="2" t="str">
        <f>IF(_xlfn.XLOOKUP(orders!C123,customers!$A$1:$A$1001,customers!$C$1:$C$1001,,0)=0,"",_xlfn.XLOOKUP(orders!C123,customers!$A$1:$A$1001,customers!$C$1:$C$1001,,0))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4"/>
        <v>68.75</v>
      </c>
      <c r="N123" t="str">
        <f t="shared" si="6"/>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_xlfn.XLOOKUP(orders!C124,customers!$A$1:$A$1001,customers!$B$1:$B$1001,,0)</f>
        <v>Mahala Ludwell</v>
      </c>
      <c r="G124" s="2" t="str">
        <f>IF(_xlfn.XLOOKUP(orders!C124,customers!$A$1:$A$1001,customers!$C$1:$C$1001,,0)=0,"",_xlfn.XLOOKUP(orders!C124,customers!$A$1:$A$1001,customers!$C$1:$C$1001,,0))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4"/>
        <v>23.88</v>
      </c>
      <c r="N124" t="str">
        <f t="shared" si="6"/>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_xlfn.XLOOKUP(orders!C125,customers!$A$1:$A$1001,customers!$B$1:$B$1001,,0)</f>
        <v>Doll Beauchamp</v>
      </c>
      <c r="G125" s="2" t="str">
        <f>IF(_xlfn.XLOOKUP(orders!C125,customers!$A$1:$A$1001,customers!$C$1:$C$1001,,0)=0,"",_xlfn.XLOOKUP(orders!C125,customers!$A$1:$A$1001,customers!$C$1:$C$1001,,0))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4"/>
        <v>145.82</v>
      </c>
      <c r="N125" t="str">
        <f t="shared" si="6"/>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_xlfn.XLOOKUP(orders!C126,customers!$A$1:$A$1001,customers!$B$1:$B$1001,,0)</f>
        <v>Stanford Rodliff</v>
      </c>
      <c r="G126" s="2" t="str">
        <f>IF(_xlfn.XLOOKUP(orders!C126,customers!$A$1:$A$1001,customers!$C$1:$C$1001,,0)=0,"",_xlfn.XLOOKUP(orders!C126,customers!$A$1:$A$1001,customers!$C$1:$C$1001,,0))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4"/>
        <v>21.825000000000003</v>
      </c>
      <c r="N126" t="str">
        <f t="shared" si="6"/>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_xlfn.XLOOKUP(orders!C127,customers!$A$1:$A$1001,customers!$B$1:$B$1001,,0)</f>
        <v>Stevana Woodham</v>
      </c>
      <c r="G127" s="2" t="str">
        <f>IF(_xlfn.XLOOKUP(orders!C127,customers!$A$1:$A$1001,customers!$C$1:$C$1001,,0)=0,"",_xlfn.XLOOKUP(orders!C127,customers!$A$1:$A$1001,customers!$C$1:$C$1001,,0))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4"/>
        <v>26.19</v>
      </c>
      <c r="N127" t="str">
        <f t="shared" si="6"/>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_xlfn.XLOOKUP(orders!C128,customers!$A$1:$A$1001,customers!$B$1:$B$1001,,0)</f>
        <v>Hewet Synnot</v>
      </c>
      <c r="G128" s="2" t="str">
        <f>IF(_xlfn.XLOOKUP(orders!C128,customers!$A$1:$A$1001,customers!$C$1:$C$1001,,0)=0,"",_xlfn.XLOOKUP(orders!C128,customers!$A$1:$A$1001,customers!$C$1:$C$1001,,0))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4"/>
        <v>11.25</v>
      </c>
      <c r="N128" t="str">
        <f t="shared" si="6"/>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_xlfn.XLOOKUP(orders!C129,customers!$A$1:$A$1001,customers!$B$1:$B$1001,,0)</f>
        <v>Raleigh Lepere</v>
      </c>
      <c r="G129" s="2" t="str">
        <f>IF(_xlfn.XLOOKUP(orders!C129,customers!$A$1:$A$1001,customers!$C$1:$C$1001,,0)=0,"",_xlfn.XLOOKUP(orders!C129,customers!$A$1:$A$1001,customers!$C$1:$C$1001,,0))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4"/>
        <v>77.699999999999989</v>
      </c>
      <c r="N129" t="str">
        <f t="shared" si="6"/>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_xlfn.XLOOKUP(orders!C130,customers!$A$1:$A$1001,customers!$B$1:$B$1001,,0)</f>
        <v>Timofei Woofinden</v>
      </c>
      <c r="G130" s="2" t="str">
        <f>IF(_xlfn.XLOOKUP(orders!C130,customers!$A$1:$A$1001,customers!$C$1:$C$1001,,0)=0,"",_xlfn.XLOOKUP(orders!C130,customers!$A$1:$A$1001,customers!$C$1:$C$1001,,0))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4"/>
        <v>6.75</v>
      </c>
      <c r="N130" t="str">
        <f t="shared" si="6"/>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_xlfn.XLOOKUP(orders!C131,customers!$A$1:$A$1001,customers!$B$1:$B$1001,,0)</f>
        <v>Evelina Dacca</v>
      </c>
      <c r="G131" s="2" t="str">
        <f>IF(_xlfn.XLOOKUP(orders!C131,customers!$A$1:$A$1001,customers!$C$1:$C$1001,,0)=0,"",_xlfn.XLOOKUP(orders!C131,customers!$A$1:$A$1001,customers!$C$1:$C$1001,,0))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7">L131*E131</f>
        <v>12.15</v>
      </c>
      <c r="N131" t="str">
        <f t="shared" si="6"/>
        <v>Excelsa</v>
      </c>
      <c r="O131" t="str">
        <f t="shared" ref="O131:O194" si="8">IF(J131="M","Medium",IF(J131= "L", "Light",IF(J131="D", "Dark","")))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_xlfn.XLOOKUP(orders!C132,customers!$A$1:$A$1001,customers!$B$1:$B$1001,,0)</f>
        <v>Bidget Tremellier</v>
      </c>
      <c r="G132" s="2" t="str">
        <f>IF(_xlfn.XLOOKUP(orders!C132,customers!$A$1:$A$1001,customers!$C$1:$C$1001,,0)=0,"",_xlfn.XLOOKUP(orders!C132,customers!$A$1:$A$1001,customers!$C$1:$C$1001,,0))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7"/>
        <v>148.92499999999998</v>
      </c>
      <c r="N132" t="str">
        <f t="shared" si="6"/>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_xlfn.XLOOKUP(orders!C133,customers!$A$1:$A$1001,customers!$B$1:$B$1001,,0)</f>
        <v>Bobinette Hindsberg</v>
      </c>
      <c r="G133" s="2" t="str">
        <f>IF(_xlfn.XLOOKUP(orders!C133,customers!$A$1:$A$1001,customers!$C$1:$C$1001,,0)=0,"",_xlfn.XLOOKUP(orders!C133,customers!$A$1:$A$1001,customers!$C$1:$C$1001,,0))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7"/>
        <v>14.58</v>
      </c>
      <c r="N133" t="str">
        <f t="shared" si="6"/>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_xlfn.XLOOKUP(orders!C134,customers!$A$1:$A$1001,customers!$B$1:$B$1001,,0)</f>
        <v>Osbert Robins</v>
      </c>
      <c r="G134" s="2" t="str">
        <f>IF(_xlfn.XLOOKUP(orders!C134,customers!$A$1:$A$1001,customers!$C$1:$C$1001,,0)=0,"",_xlfn.XLOOKUP(orders!C134,customers!$A$1:$A$1001,customers!$C$1:$C$1001,,0))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7"/>
        <v>148.92499999999998</v>
      </c>
      <c r="N134" t="str">
        <f t="shared" si="6"/>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_xlfn.XLOOKUP(orders!C135,customers!$A$1:$A$1001,customers!$B$1:$B$1001,,0)</f>
        <v>Othello Syseland</v>
      </c>
      <c r="G135" s="2" t="str">
        <f>IF(_xlfn.XLOOKUP(orders!C135,customers!$A$1:$A$1001,customers!$C$1:$C$1001,,0)=0,"",_xlfn.XLOOKUP(orders!C135,customers!$A$1:$A$1001,customers!$C$1:$C$1001,,0))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7"/>
        <v>12.95</v>
      </c>
      <c r="N135" t="str">
        <f t="shared" si="6"/>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_xlfn.XLOOKUP(orders!C136,customers!$A$1:$A$1001,customers!$B$1:$B$1001,,0)</f>
        <v>Ewell Hanby</v>
      </c>
      <c r="G136" s="2" t="str">
        <f>IF(_xlfn.XLOOKUP(orders!C136,customers!$A$1:$A$1001,customers!$C$1:$C$1001,,0)=0,"",_xlfn.XLOOKUP(orders!C136,customers!$A$1:$A$1001,customers!$C$1:$C$1001,,0))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7"/>
        <v>94.874999999999986</v>
      </c>
      <c r="N136" t="str">
        <f t="shared" ref="N136:N199" si="9">IF(I136="Rob","Robusta",IF(I136="Exc","Excelsa",IF(I136="Ara","Arabica",IF(I136="Lib","Liberica"))))</f>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_xlfn.XLOOKUP(orders!C137,customers!$A$1:$A$1001,customers!$B$1:$B$1001,,0)</f>
        <v>Blancha McAmish</v>
      </c>
      <c r="G137" s="2" t="str">
        <f>IF(_xlfn.XLOOKUP(orders!C137,customers!$A$1:$A$1001,customers!$C$1:$C$1001,,0)=0,"",_xlfn.XLOOKUP(orders!C137,customers!$A$1:$A$1001,customers!$C$1:$C$1001,,0))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7"/>
        <v>38.849999999999994</v>
      </c>
      <c r="N137" t="str">
        <f t="shared" si="9"/>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_xlfn.XLOOKUP(orders!C138,customers!$A$1:$A$1001,customers!$B$1:$B$1001,,0)</f>
        <v>Lowell Keenleyside</v>
      </c>
      <c r="G138" s="2" t="str">
        <f>IF(_xlfn.XLOOKUP(orders!C138,customers!$A$1:$A$1001,customers!$C$1:$C$1001,,0)=0,"",_xlfn.XLOOKUP(orders!C138,customers!$A$1:$A$1001,customers!$C$1:$C$1001,,0))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7"/>
        <v>11.94</v>
      </c>
      <c r="N138" t="str">
        <f t="shared" si="9"/>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_xlfn.XLOOKUP(orders!C139,customers!$A$1:$A$1001,customers!$B$1:$B$1001,,0)</f>
        <v>Elonore Joliffe</v>
      </c>
      <c r="G139" s="2" t="str">
        <f>IF(_xlfn.XLOOKUP(orders!C139,customers!$A$1:$A$1001,customers!$C$1:$C$1001,,0)=0,"",_xlfn.XLOOKUP(orders!C139,customers!$A$1:$A$1001,customers!$C$1:$C$1001,,0))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7"/>
        <v>102.46499999999997</v>
      </c>
      <c r="N139" t="str">
        <f t="shared" si="9"/>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_xlfn.XLOOKUP(orders!C140,customers!$A$1:$A$1001,customers!$B$1:$B$1001,,0)</f>
        <v>Abraham Coleman</v>
      </c>
      <c r="G140" s="2" t="str">
        <f>IF(_xlfn.XLOOKUP(orders!C140,customers!$A$1:$A$1001,customers!$C$1:$C$1001,,0)=0,"",_xlfn.XLOOKUP(orders!C140,customers!$A$1:$A$1001,customers!$C$1:$C$1001,,0))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7"/>
        <v>48.6</v>
      </c>
      <c r="N140" t="str">
        <f t="shared" si="9"/>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_xlfn.XLOOKUP(orders!C141,customers!$A$1:$A$1001,customers!$B$1:$B$1001,,0)</f>
        <v>Rivy Farington</v>
      </c>
      <c r="G141" s="2" t="str">
        <f>IF(_xlfn.XLOOKUP(orders!C141,customers!$A$1:$A$1001,customers!$C$1:$C$1001,,0)=0,"",_xlfn.XLOOKUP(orders!C141,customers!$A$1:$A$1001,customers!$C$1:$C$1001,,0))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7"/>
        <v>77.699999999999989</v>
      </c>
      <c r="N141" t="str">
        <f t="shared" si="9"/>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_xlfn.XLOOKUP(orders!C142,customers!$A$1:$A$1001,customers!$B$1:$B$1001,,0)</f>
        <v>Vallie Kundt</v>
      </c>
      <c r="G142" s="2" t="str">
        <f>IF(_xlfn.XLOOKUP(orders!C142,customers!$A$1:$A$1001,customers!$C$1:$C$1001,,0)=0,"",_xlfn.XLOOKUP(orders!C142,customers!$A$1:$A$1001,customers!$C$1:$C$1001,,0))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7"/>
        <v>29.784999999999997</v>
      </c>
      <c r="N142" t="str">
        <f t="shared" si="9"/>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_xlfn.XLOOKUP(orders!C143,customers!$A$1:$A$1001,customers!$B$1:$B$1001,,0)</f>
        <v>Boyd Bett</v>
      </c>
      <c r="G143" s="2" t="str">
        <f>IF(_xlfn.XLOOKUP(orders!C143,customers!$A$1:$A$1001,customers!$C$1:$C$1001,,0)=0,"",_xlfn.XLOOKUP(orders!C143,customers!$A$1:$A$1001,customers!$C$1:$C$1001,,0))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7"/>
        <v>15.54</v>
      </c>
      <c r="N143" t="str">
        <f t="shared" si="9"/>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_xlfn.XLOOKUP(orders!C144,customers!$A$1:$A$1001,customers!$B$1:$B$1001,,0)</f>
        <v>Julio Armytage</v>
      </c>
      <c r="G144" s="2" t="str">
        <f>IF(_xlfn.XLOOKUP(orders!C144,customers!$A$1:$A$1001,customers!$C$1:$C$1001,,0)=0,"",_xlfn.XLOOKUP(orders!C144,customers!$A$1:$A$1001,customers!$C$1:$C$1001,,0))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7"/>
        <v>136.61999999999998</v>
      </c>
      <c r="N144" t="str">
        <f t="shared" si="9"/>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_xlfn.XLOOKUP(orders!C145,customers!$A$1:$A$1001,customers!$B$1:$B$1001,,0)</f>
        <v>Deana Staite</v>
      </c>
      <c r="G145" s="2" t="str">
        <f>IF(_xlfn.XLOOKUP(orders!C145,customers!$A$1:$A$1001,customers!$C$1:$C$1001,,0)=0,"",_xlfn.XLOOKUP(orders!C145,customers!$A$1:$A$1001,customers!$C$1:$C$1001,,0))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7"/>
        <v>17.46</v>
      </c>
      <c r="N145" t="str">
        <f t="shared" si="9"/>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_xlfn.XLOOKUP(orders!C146,customers!$A$1:$A$1001,customers!$B$1:$B$1001,,0)</f>
        <v>Winn Keyse</v>
      </c>
      <c r="G146" s="2" t="str">
        <f>IF(_xlfn.XLOOKUP(orders!C146,customers!$A$1:$A$1001,customers!$C$1:$C$1001,,0)=0,"",_xlfn.XLOOKUP(orders!C146,customers!$A$1:$A$1001,customers!$C$1:$C$1001,,0))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7"/>
        <v>68.309999999999988</v>
      </c>
      <c r="N146" t="str">
        <f t="shared" si="9"/>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_xlfn.XLOOKUP(orders!C147,customers!$A$1:$A$1001,customers!$B$1:$B$1001,,0)</f>
        <v>Osmund Clausen-Thue</v>
      </c>
      <c r="G147" s="2" t="str">
        <f>IF(_xlfn.XLOOKUP(orders!C147,customers!$A$1:$A$1001,customers!$C$1:$C$1001,,0)=0,"",_xlfn.XLOOKUP(orders!C147,customers!$A$1:$A$1001,customers!$C$1:$C$1001,,0))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7"/>
        <v>17.46</v>
      </c>
      <c r="N147" t="str">
        <f t="shared" si="9"/>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_xlfn.XLOOKUP(orders!C148,customers!$A$1:$A$1001,customers!$B$1:$B$1001,,0)</f>
        <v>Leonore Francisco</v>
      </c>
      <c r="G148" s="2" t="str">
        <f>IF(_xlfn.XLOOKUP(orders!C148,customers!$A$1:$A$1001,customers!$C$1:$C$1001,,0)=0,"",_xlfn.XLOOKUP(orders!C148,customers!$A$1:$A$1001,customers!$C$1:$C$1001,,0))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7"/>
        <v>43.650000000000006</v>
      </c>
      <c r="N148" t="str">
        <f t="shared" si="9"/>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_xlfn.XLOOKUP(orders!C149,customers!$A$1:$A$1001,customers!$B$1:$B$1001,,0)</f>
        <v>Leonore Francisco</v>
      </c>
      <c r="G149" s="2" t="str">
        <f>IF(_xlfn.XLOOKUP(orders!C149,customers!$A$1:$A$1001,customers!$C$1:$C$1001,,0)=0,"",_xlfn.XLOOKUP(orders!C149,customers!$A$1:$A$1001,customers!$C$1:$C$1001,,0))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7"/>
        <v>27.5</v>
      </c>
      <c r="N149" t="str">
        <f t="shared" si="9"/>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_xlfn.XLOOKUP(orders!C150,customers!$A$1:$A$1001,customers!$B$1:$B$1001,,0)</f>
        <v>Giacobo Skingle</v>
      </c>
      <c r="G150" s="2" t="str">
        <f>IF(_xlfn.XLOOKUP(orders!C150,customers!$A$1:$A$1001,customers!$C$1:$C$1001,,0)=0,"",_xlfn.XLOOKUP(orders!C150,customers!$A$1:$A$1001,customers!$C$1:$C$1001,,0))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7"/>
        <v>18.225000000000001</v>
      </c>
      <c r="N150" t="str">
        <f t="shared" si="9"/>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_xlfn.XLOOKUP(orders!C151,customers!$A$1:$A$1001,customers!$B$1:$B$1001,,0)</f>
        <v>Gerard Pirdy</v>
      </c>
      <c r="G151" s="2" t="str">
        <f>IF(_xlfn.XLOOKUP(orders!C151,customers!$A$1:$A$1001,customers!$C$1:$C$1001,,0)=0,"",_xlfn.XLOOKUP(orders!C151,customers!$A$1:$A$1001,customers!$C$1:$C$1001,,0))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7"/>
        <v>51.749999999999993</v>
      </c>
      <c r="N151" t="str">
        <f t="shared" si="9"/>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_xlfn.XLOOKUP(orders!C152,customers!$A$1:$A$1001,customers!$B$1:$B$1001,,0)</f>
        <v>Jacinthe Balsillie</v>
      </c>
      <c r="G152" s="2" t="str">
        <f>IF(_xlfn.XLOOKUP(orders!C152,customers!$A$1:$A$1001,customers!$C$1:$C$1001,,0)=0,"",_xlfn.XLOOKUP(orders!C152,customers!$A$1:$A$1001,customers!$C$1:$C$1001,,0))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7"/>
        <v>12.95</v>
      </c>
      <c r="N152" t="str">
        <f t="shared" si="9"/>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_xlfn.XLOOKUP(orders!C153,customers!$A$1:$A$1001,customers!$B$1:$B$1001,,0)</f>
        <v>Quinton Fouracres</v>
      </c>
      <c r="G153" s="2" t="str">
        <f>IF(_xlfn.XLOOKUP(orders!C153,customers!$A$1:$A$1001,customers!$C$1:$C$1001,,0)=0,"",_xlfn.XLOOKUP(orders!C153,customers!$A$1:$A$1001,customers!$C$1:$C$1001,,0))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7"/>
        <v>33.75</v>
      </c>
      <c r="N153" t="str">
        <f t="shared" si="9"/>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_xlfn.XLOOKUP(orders!C154,customers!$A$1:$A$1001,customers!$B$1:$B$1001,,0)</f>
        <v>Bettina Leffek</v>
      </c>
      <c r="G154" s="2" t="str">
        <f>IF(_xlfn.XLOOKUP(orders!C154,customers!$A$1:$A$1001,customers!$C$1:$C$1001,,0)=0,"",_xlfn.XLOOKUP(orders!C154,customers!$A$1:$A$1001,customers!$C$1:$C$1001,,0))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7"/>
        <v>68.655000000000001</v>
      </c>
      <c r="N154" t="str">
        <f t="shared" si="9"/>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_xlfn.XLOOKUP(orders!C155,customers!$A$1:$A$1001,customers!$B$1:$B$1001,,0)</f>
        <v>Hetti Penson</v>
      </c>
      <c r="G155" s="2" t="str">
        <f>IF(_xlfn.XLOOKUP(orders!C155,customers!$A$1:$A$1001,customers!$C$1:$C$1001,,0)=0,"",_xlfn.XLOOKUP(orders!C155,customers!$A$1:$A$1001,customers!$C$1:$C$1001,,0))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7"/>
        <v>2.6849999999999996</v>
      </c>
      <c r="N155" t="str">
        <f t="shared" si="9"/>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_xlfn.XLOOKUP(orders!C156,customers!$A$1:$A$1001,customers!$B$1:$B$1001,,0)</f>
        <v>Jocko Pray</v>
      </c>
      <c r="G156" s="2" t="str">
        <f>IF(_xlfn.XLOOKUP(orders!C156,customers!$A$1:$A$1001,customers!$C$1:$C$1001,,0)=0,"",_xlfn.XLOOKUP(orders!C156,customers!$A$1:$A$1001,customers!$C$1:$C$1001,,0))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7"/>
        <v>114.42499999999998</v>
      </c>
      <c r="N156" t="str">
        <f t="shared" si="9"/>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_xlfn.XLOOKUP(orders!C157,customers!$A$1:$A$1001,customers!$B$1:$B$1001,,0)</f>
        <v>Grete Holborn</v>
      </c>
      <c r="G157" s="2" t="str">
        <f>IF(_xlfn.XLOOKUP(orders!C157,customers!$A$1:$A$1001,customers!$C$1:$C$1001,,0)=0,"",_xlfn.XLOOKUP(orders!C157,customers!$A$1:$A$1001,customers!$C$1:$C$1001,,0))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7"/>
        <v>155.24999999999997</v>
      </c>
      <c r="N157" t="str">
        <f t="shared" si="9"/>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_xlfn.XLOOKUP(orders!C158,customers!$A$1:$A$1001,customers!$B$1:$B$1001,,0)</f>
        <v>Fielding Keinrat</v>
      </c>
      <c r="G158" s="2" t="str">
        <f>IF(_xlfn.XLOOKUP(orders!C158,customers!$A$1:$A$1001,customers!$C$1:$C$1001,,0)=0,"",_xlfn.XLOOKUP(orders!C158,customers!$A$1:$A$1001,customers!$C$1:$C$1001,,0))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7"/>
        <v>77.624999999999986</v>
      </c>
      <c r="N158" t="str">
        <f t="shared" si="9"/>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_xlfn.XLOOKUP(orders!C159,customers!$A$1:$A$1001,customers!$B$1:$B$1001,,0)</f>
        <v>Paulo Yea</v>
      </c>
      <c r="G159" s="2" t="str">
        <f>IF(_xlfn.XLOOKUP(orders!C159,customers!$A$1:$A$1001,customers!$C$1:$C$1001,,0)=0,"",_xlfn.XLOOKUP(orders!C159,customers!$A$1:$A$1001,customers!$C$1:$C$1001,,0))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7"/>
        <v>61.754999999999995</v>
      </c>
      <c r="N159" t="str">
        <f t="shared" si="9"/>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_xlfn.XLOOKUP(orders!C160,customers!$A$1:$A$1001,customers!$B$1:$B$1001,,0)</f>
        <v>Say Risborough</v>
      </c>
      <c r="G160" s="2" t="str">
        <f>IF(_xlfn.XLOOKUP(orders!C160,customers!$A$1:$A$1001,customers!$C$1:$C$1001,,0)=0,"",_xlfn.XLOOKUP(orders!C160,customers!$A$1:$A$1001,customers!$C$1:$C$1001,,0))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7"/>
        <v>123.50999999999999</v>
      </c>
      <c r="N160" t="str">
        <f t="shared" si="9"/>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_xlfn.XLOOKUP(orders!C161,customers!$A$1:$A$1001,customers!$B$1:$B$1001,,0)</f>
        <v>Alexa Sizey</v>
      </c>
      <c r="G161" s="2" t="str">
        <f>IF(_xlfn.XLOOKUP(orders!C161,customers!$A$1:$A$1001,customers!$C$1:$C$1001,,0)=0,"",_xlfn.XLOOKUP(orders!C161,customers!$A$1:$A$1001,customers!$C$1:$C$1001,,0))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7"/>
        <v>218.73</v>
      </c>
      <c r="N161" t="str">
        <f t="shared" si="9"/>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_xlfn.XLOOKUP(orders!C162,customers!$A$1:$A$1001,customers!$B$1:$B$1001,,0)</f>
        <v>Kari Swede</v>
      </c>
      <c r="G162" s="2" t="str">
        <f>IF(_xlfn.XLOOKUP(orders!C162,customers!$A$1:$A$1001,customers!$C$1:$C$1001,,0)=0,"",_xlfn.XLOOKUP(orders!C162,customers!$A$1:$A$1001,customers!$C$1:$C$1001,,0))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7"/>
        <v>33</v>
      </c>
      <c r="N162" t="str">
        <f t="shared" si="9"/>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_xlfn.XLOOKUP(orders!C163,customers!$A$1:$A$1001,customers!$B$1:$B$1001,,0)</f>
        <v>Leontine Rubrow</v>
      </c>
      <c r="G163" s="2" t="str">
        <f>IF(_xlfn.XLOOKUP(orders!C163,customers!$A$1:$A$1001,customers!$C$1:$C$1001,,0)=0,"",_xlfn.XLOOKUP(orders!C163,customers!$A$1:$A$1001,customers!$C$1:$C$1001,,0))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7"/>
        <v>23.31</v>
      </c>
      <c r="N163" t="str">
        <f t="shared" si="9"/>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_xlfn.XLOOKUP(orders!C164,customers!$A$1:$A$1001,customers!$B$1:$B$1001,,0)</f>
        <v>Dottie Tift</v>
      </c>
      <c r="G164" s="2" t="str">
        <f>IF(_xlfn.XLOOKUP(orders!C164,customers!$A$1:$A$1001,customers!$C$1:$C$1001,,0)=0,"",_xlfn.XLOOKUP(orders!C164,customers!$A$1:$A$1001,customers!$C$1:$C$1001,,0))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7"/>
        <v>21.87</v>
      </c>
      <c r="N164" t="str">
        <f t="shared" si="9"/>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_xlfn.XLOOKUP(orders!C165,customers!$A$1:$A$1001,customers!$B$1:$B$1001,,0)</f>
        <v>Gerardo Schonfeld</v>
      </c>
      <c r="G165" s="2" t="str">
        <f>IF(_xlfn.XLOOKUP(orders!C165,customers!$A$1:$A$1001,customers!$C$1:$C$1001,,0)=0,"",_xlfn.XLOOKUP(orders!C165,customers!$A$1:$A$1001,customers!$C$1:$C$1001,,0))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7"/>
        <v>16.11</v>
      </c>
      <c r="N165" t="str">
        <f t="shared" si="9"/>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_xlfn.XLOOKUP(orders!C166,customers!$A$1:$A$1001,customers!$B$1:$B$1001,,0)</f>
        <v>Claiborne Feye</v>
      </c>
      <c r="G166" s="2" t="str">
        <f>IF(_xlfn.XLOOKUP(orders!C166,customers!$A$1:$A$1001,customers!$C$1:$C$1001,,0)=0,"",_xlfn.XLOOKUP(orders!C166,customers!$A$1:$A$1001,customers!$C$1:$C$1001,,0))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7"/>
        <v>29.16</v>
      </c>
      <c r="N166" t="str">
        <f t="shared" si="9"/>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_xlfn.XLOOKUP(orders!C167,customers!$A$1:$A$1001,customers!$B$1:$B$1001,,0)</f>
        <v>Mina Elstone</v>
      </c>
      <c r="G167" s="2" t="str">
        <f>IF(_xlfn.XLOOKUP(orders!C167,customers!$A$1:$A$1001,customers!$C$1:$C$1001,,0)=0,"",_xlfn.XLOOKUP(orders!C167,customers!$A$1:$A$1001,customers!$C$1:$C$1001,,0))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7"/>
        <v>53.699999999999996</v>
      </c>
      <c r="N167" t="str">
        <f t="shared" si="9"/>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_xlfn.XLOOKUP(orders!C168,customers!$A$1:$A$1001,customers!$B$1:$B$1001,,0)</f>
        <v>Sherman Mewrcik</v>
      </c>
      <c r="G168" s="2" t="str">
        <f>IF(_xlfn.XLOOKUP(orders!C168,customers!$A$1:$A$1001,customers!$C$1:$C$1001,,0)=0,"",_xlfn.XLOOKUP(orders!C168,customers!$A$1:$A$1001,customers!$C$1:$C$1001,,0))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7"/>
        <v>26.849999999999994</v>
      </c>
      <c r="N168" t="str">
        <f t="shared" si="9"/>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_xlfn.XLOOKUP(orders!C169,customers!$A$1:$A$1001,customers!$B$1:$B$1001,,0)</f>
        <v>Tamarah Fero</v>
      </c>
      <c r="G169" s="2" t="str">
        <f>IF(_xlfn.XLOOKUP(orders!C169,customers!$A$1:$A$1001,customers!$C$1:$C$1001,,0)=0,"",_xlfn.XLOOKUP(orders!C169,customers!$A$1:$A$1001,customers!$C$1:$C$1001,,0))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7"/>
        <v>41.25</v>
      </c>
      <c r="N169" t="str">
        <f t="shared" si="9"/>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_xlfn.XLOOKUP(orders!C170,customers!$A$1:$A$1001,customers!$B$1:$B$1001,,0)</f>
        <v>Stanislaus Valsler</v>
      </c>
      <c r="G170" s="2" t="str">
        <f>IF(_xlfn.XLOOKUP(orders!C170,customers!$A$1:$A$1001,customers!$C$1:$C$1001,,0)=0,"",_xlfn.XLOOKUP(orders!C170,customers!$A$1:$A$1001,customers!$C$1:$C$1001,,0))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7"/>
        <v>40.5</v>
      </c>
      <c r="N170" t="str">
        <f t="shared" si="9"/>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_xlfn.XLOOKUP(orders!C171,customers!$A$1:$A$1001,customers!$B$1:$B$1001,,0)</f>
        <v>Felita Dauney</v>
      </c>
      <c r="G171" s="2" t="str">
        <f>IF(_xlfn.XLOOKUP(orders!C171,customers!$A$1:$A$1001,customers!$C$1:$C$1001,,0)=0,"",_xlfn.XLOOKUP(orders!C171,customers!$A$1:$A$1001,customers!$C$1:$C$1001,,0))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7"/>
        <v>17.899999999999999</v>
      </c>
      <c r="N171" t="str">
        <f t="shared" si="9"/>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_xlfn.XLOOKUP(orders!C172,customers!$A$1:$A$1001,customers!$B$1:$B$1001,,0)</f>
        <v>Serena Earley</v>
      </c>
      <c r="G172" s="2" t="str">
        <f>IF(_xlfn.XLOOKUP(orders!C172,customers!$A$1:$A$1001,customers!$C$1:$C$1001,,0)=0,"",_xlfn.XLOOKUP(orders!C172,customers!$A$1:$A$1001,customers!$C$1:$C$1001,,0))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7"/>
        <v>68.309999999999988</v>
      </c>
      <c r="N172" t="str">
        <f t="shared" si="9"/>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_xlfn.XLOOKUP(orders!C173,customers!$A$1:$A$1001,customers!$B$1:$B$1001,,0)</f>
        <v>Minny Chamberlayne</v>
      </c>
      <c r="G173" s="2" t="str">
        <f>IF(_xlfn.XLOOKUP(orders!C173,customers!$A$1:$A$1001,customers!$C$1:$C$1001,,0)=0,"",_xlfn.XLOOKUP(orders!C173,customers!$A$1:$A$1001,customers!$C$1:$C$1001,,0))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7"/>
        <v>63.249999999999993</v>
      </c>
      <c r="N173" t="str">
        <f t="shared" si="9"/>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_xlfn.XLOOKUP(orders!C174,customers!$A$1:$A$1001,customers!$B$1:$B$1001,,0)</f>
        <v>Bartholemy Flaherty</v>
      </c>
      <c r="G174" s="2" t="str">
        <f>IF(_xlfn.XLOOKUP(orders!C174,customers!$A$1:$A$1001,customers!$C$1:$C$1001,,0)=0,"",_xlfn.XLOOKUP(orders!C174,customers!$A$1:$A$1001,customers!$C$1:$C$1001,,0))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7"/>
        <v>21.87</v>
      </c>
      <c r="N174" t="str">
        <f t="shared" si="9"/>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_xlfn.XLOOKUP(orders!C175,customers!$A$1:$A$1001,customers!$B$1:$B$1001,,0)</f>
        <v>Oran Colbeck</v>
      </c>
      <c r="G175" s="2" t="str">
        <f>IF(_xlfn.XLOOKUP(orders!C175,customers!$A$1:$A$1001,customers!$C$1:$C$1001,,0)=0,"",_xlfn.XLOOKUP(orders!C175,customers!$A$1:$A$1001,customers!$C$1:$C$1001,,0))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7"/>
        <v>91.539999999999992</v>
      </c>
      <c r="N175" t="str">
        <f t="shared" si="9"/>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_xlfn.XLOOKUP(orders!C176,customers!$A$1:$A$1001,customers!$B$1:$B$1001,,0)</f>
        <v>Elysee Sketch</v>
      </c>
      <c r="G176" s="2" t="str">
        <f>IF(_xlfn.XLOOKUP(orders!C176,customers!$A$1:$A$1001,customers!$C$1:$C$1001,,0)=0,"",_xlfn.XLOOKUP(orders!C176,customers!$A$1:$A$1001,customers!$C$1:$C$1001,,0))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7"/>
        <v>204.92999999999995</v>
      </c>
      <c r="N176" t="str">
        <f t="shared" si="9"/>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_xlfn.XLOOKUP(orders!C177,customers!$A$1:$A$1001,customers!$B$1:$B$1001,,0)</f>
        <v>Ethelda Hobbing</v>
      </c>
      <c r="G177" s="2" t="str">
        <f>IF(_xlfn.XLOOKUP(orders!C177,customers!$A$1:$A$1001,customers!$C$1:$C$1001,,0)=0,"",_xlfn.XLOOKUP(orders!C177,customers!$A$1:$A$1001,customers!$C$1:$C$1001,,0))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7"/>
        <v>63.249999999999993</v>
      </c>
      <c r="N177" t="str">
        <f t="shared" si="9"/>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_xlfn.XLOOKUP(orders!C178,customers!$A$1:$A$1001,customers!$B$1:$B$1001,,0)</f>
        <v>Odille Thynne</v>
      </c>
      <c r="G178" s="2" t="str">
        <f>IF(_xlfn.XLOOKUP(orders!C178,customers!$A$1:$A$1001,customers!$C$1:$C$1001,,0)=0,"",_xlfn.XLOOKUP(orders!C178,customers!$A$1:$A$1001,customers!$C$1:$C$1001,,0))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7"/>
        <v>34.154999999999994</v>
      </c>
      <c r="N178" t="str">
        <f t="shared" si="9"/>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_xlfn.XLOOKUP(orders!C179,customers!$A$1:$A$1001,customers!$B$1:$B$1001,,0)</f>
        <v>Emlynne Heining</v>
      </c>
      <c r="G179" s="2" t="str">
        <f>IF(_xlfn.XLOOKUP(orders!C179,customers!$A$1:$A$1001,customers!$C$1:$C$1001,,0)=0,"",_xlfn.XLOOKUP(orders!C179,customers!$A$1:$A$1001,customers!$C$1:$C$1001,,0))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7"/>
        <v>109.93999999999998</v>
      </c>
      <c r="N179" t="str">
        <f t="shared" si="9"/>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_xlfn.XLOOKUP(orders!C180,customers!$A$1:$A$1001,customers!$B$1:$B$1001,,0)</f>
        <v>Katerina Melloi</v>
      </c>
      <c r="G180" s="2" t="str">
        <f>IF(_xlfn.XLOOKUP(orders!C180,customers!$A$1:$A$1001,customers!$C$1:$C$1001,,0)=0,"",_xlfn.XLOOKUP(orders!C180,customers!$A$1:$A$1001,customers!$C$1:$C$1001,,0))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7"/>
        <v>25.9</v>
      </c>
      <c r="N180" t="str">
        <f t="shared" si="9"/>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_xlfn.XLOOKUP(orders!C181,customers!$A$1:$A$1001,customers!$B$1:$B$1001,,0)</f>
        <v>Tiffany Scardafield</v>
      </c>
      <c r="G181" s="2" t="str">
        <f>IF(_xlfn.XLOOKUP(orders!C181,customers!$A$1:$A$1001,customers!$C$1:$C$1001,,0)=0,"",_xlfn.XLOOKUP(orders!C181,customers!$A$1:$A$1001,customers!$C$1:$C$1001,,0))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7"/>
        <v>2.9849999999999999</v>
      </c>
      <c r="N181" t="str">
        <f t="shared" si="9"/>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_xlfn.XLOOKUP(orders!C182,customers!$A$1:$A$1001,customers!$B$1:$B$1001,,0)</f>
        <v>Abrahan Mussen</v>
      </c>
      <c r="G182" s="2" t="str">
        <f>IF(_xlfn.XLOOKUP(orders!C182,customers!$A$1:$A$1001,customers!$C$1:$C$1001,,0)=0,"",_xlfn.XLOOKUP(orders!C182,customers!$A$1:$A$1001,customers!$C$1:$C$1001,,0))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7"/>
        <v>22.274999999999999</v>
      </c>
      <c r="N182" t="str">
        <f t="shared" si="9"/>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_xlfn.XLOOKUP(orders!C183,customers!$A$1:$A$1001,customers!$B$1:$B$1001,,0)</f>
        <v>Abrahan Mussen</v>
      </c>
      <c r="G183" s="2" t="str">
        <f>IF(_xlfn.XLOOKUP(orders!C183,customers!$A$1:$A$1001,customers!$C$1:$C$1001,,0)=0,"",_xlfn.XLOOKUP(orders!C183,customers!$A$1:$A$1001,customers!$C$1:$C$1001,,0))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7"/>
        <v>29.849999999999998</v>
      </c>
      <c r="N183" t="str">
        <f t="shared" si="9"/>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_xlfn.XLOOKUP(orders!C184,customers!$A$1:$A$1001,customers!$B$1:$B$1001,,0)</f>
        <v>Anny Mundford</v>
      </c>
      <c r="G184" s="2" t="str">
        <f>IF(_xlfn.XLOOKUP(orders!C184,customers!$A$1:$A$1001,customers!$C$1:$C$1001,,0)=0,"",_xlfn.XLOOKUP(orders!C184,customers!$A$1:$A$1001,customers!$C$1:$C$1001,,0))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7"/>
        <v>32.22</v>
      </c>
      <c r="N184" t="str">
        <f t="shared" si="9"/>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_xlfn.XLOOKUP(orders!C185,customers!$A$1:$A$1001,customers!$B$1:$B$1001,,0)</f>
        <v>Tory Walas</v>
      </c>
      <c r="G185" s="2" t="str">
        <f>IF(_xlfn.XLOOKUP(orders!C185,customers!$A$1:$A$1001,customers!$C$1:$C$1001,,0)=0,"",_xlfn.XLOOKUP(orders!C185,customers!$A$1:$A$1001,customers!$C$1:$C$1001,,0))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7"/>
        <v>8.25</v>
      </c>
      <c r="N185" t="str">
        <f t="shared" si="9"/>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_xlfn.XLOOKUP(orders!C186,customers!$A$1:$A$1001,customers!$B$1:$B$1001,,0)</f>
        <v>Isa Blazewicz</v>
      </c>
      <c r="G186" s="2" t="str">
        <f>IF(_xlfn.XLOOKUP(orders!C186,customers!$A$1:$A$1001,customers!$C$1:$C$1001,,0)=0,"",_xlfn.XLOOKUP(orders!C186,customers!$A$1:$A$1001,customers!$C$1:$C$1001,,0))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7"/>
        <v>31.08</v>
      </c>
      <c r="N186" t="str">
        <f t="shared" si="9"/>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_xlfn.XLOOKUP(orders!C187,customers!$A$1:$A$1001,customers!$B$1:$B$1001,,0)</f>
        <v>Angie Rizzetti</v>
      </c>
      <c r="G187" s="2" t="str">
        <f>IF(_xlfn.XLOOKUP(orders!C187,customers!$A$1:$A$1001,customers!$C$1:$C$1001,,0)=0,"",_xlfn.XLOOKUP(orders!C187,customers!$A$1:$A$1001,customers!$C$1:$C$1001,,0))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7"/>
        <v>36.450000000000003</v>
      </c>
      <c r="N187" t="str">
        <f t="shared" si="9"/>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_xlfn.XLOOKUP(orders!C188,customers!$A$1:$A$1001,customers!$B$1:$B$1001,,0)</f>
        <v>Mord Meriet</v>
      </c>
      <c r="G188" s="2" t="str">
        <f>IF(_xlfn.XLOOKUP(orders!C188,customers!$A$1:$A$1001,customers!$C$1:$C$1001,,0)=0,"",_xlfn.XLOOKUP(orders!C188,customers!$A$1:$A$1001,customers!$C$1:$C$1001,,0))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7"/>
        <v>68.655000000000001</v>
      </c>
      <c r="N188" t="str">
        <f t="shared" si="9"/>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_xlfn.XLOOKUP(orders!C189,customers!$A$1:$A$1001,customers!$B$1:$B$1001,,0)</f>
        <v>Lawrence Pratt</v>
      </c>
      <c r="G189" s="2" t="str">
        <f>IF(_xlfn.XLOOKUP(orders!C189,customers!$A$1:$A$1001,customers!$C$1:$C$1001,,0)=0,"",_xlfn.XLOOKUP(orders!C189,customers!$A$1:$A$1001,customers!$C$1:$C$1001,,0))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7"/>
        <v>43.650000000000006</v>
      </c>
      <c r="N189" t="str">
        <f t="shared" si="9"/>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_xlfn.XLOOKUP(orders!C190,customers!$A$1:$A$1001,customers!$B$1:$B$1001,,0)</f>
        <v>Astrix Kitchingham</v>
      </c>
      <c r="G190" s="2" t="str">
        <f>IF(_xlfn.XLOOKUP(orders!C190,customers!$A$1:$A$1001,customers!$C$1:$C$1001,,0)=0,"",_xlfn.XLOOKUP(orders!C190,customers!$A$1:$A$1001,customers!$C$1:$C$1001,,0))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7"/>
        <v>4.4550000000000001</v>
      </c>
      <c r="N190" t="str">
        <f t="shared" si="9"/>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_xlfn.XLOOKUP(orders!C191,customers!$A$1:$A$1001,customers!$B$1:$B$1001,,0)</f>
        <v>Burnard Bartholin</v>
      </c>
      <c r="G191" s="2" t="str">
        <f>IF(_xlfn.XLOOKUP(orders!C191,customers!$A$1:$A$1001,customers!$C$1:$C$1001,,0)=0,"",_xlfn.XLOOKUP(orders!C191,customers!$A$1:$A$1001,customers!$C$1:$C$1001,,0))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7"/>
        <v>43.650000000000006</v>
      </c>
      <c r="N191" t="str">
        <f t="shared" si="9"/>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_xlfn.XLOOKUP(orders!C192,customers!$A$1:$A$1001,customers!$B$1:$B$1001,,0)</f>
        <v>Madelene Prinn</v>
      </c>
      <c r="G192" s="2" t="str">
        <f>IF(_xlfn.XLOOKUP(orders!C192,customers!$A$1:$A$1001,customers!$C$1:$C$1001,,0)=0,"",_xlfn.XLOOKUP(orders!C192,customers!$A$1:$A$1001,customers!$C$1:$C$1001,,0))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7"/>
        <v>33.464999999999996</v>
      </c>
      <c r="N192" t="str">
        <f t="shared" si="9"/>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_xlfn.XLOOKUP(orders!C193,customers!$A$1:$A$1001,customers!$B$1:$B$1001,,0)</f>
        <v>Alisun Baudino</v>
      </c>
      <c r="G193" s="2" t="str">
        <f>IF(_xlfn.XLOOKUP(orders!C193,customers!$A$1:$A$1001,customers!$C$1:$C$1001,,0)=0,"",_xlfn.XLOOKUP(orders!C193,customers!$A$1:$A$1001,customers!$C$1:$C$1001,,0))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7"/>
        <v>19.424999999999997</v>
      </c>
      <c r="N193" t="str">
        <f t="shared" si="9"/>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_xlfn.XLOOKUP(orders!C194,customers!$A$1:$A$1001,customers!$B$1:$B$1001,,0)</f>
        <v>Philipa Petrushanko</v>
      </c>
      <c r="G194" s="2" t="str">
        <f>IF(_xlfn.XLOOKUP(orders!C194,customers!$A$1:$A$1001,customers!$C$1:$C$1001,,0)=0,"",_xlfn.XLOOKUP(orders!C194,customers!$A$1:$A$1001,customers!$C$1:$C$1001,,0))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7"/>
        <v>72.900000000000006</v>
      </c>
      <c r="N194" t="str">
        <f t="shared" si="9"/>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_xlfn.XLOOKUP(orders!C195,customers!$A$1:$A$1001,customers!$B$1:$B$1001,,0)</f>
        <v>Kimberli Mustchin</v>
      </c>
      <c r="G195" s="2" t="str">
        <f>IF(_xlfn.XLOOKUP(orders!C195,customers!$A$1:$A$1001,customers!$C$1:$C$1001,,0)=0,"",_xlfn.XLOOKUP(orders!C195,customers!$A$1:$A$1001,customers!$C$1:$C$1001,,0))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10">L195*E195</f>
        <v>44.55</v>
      </c>
      <c r="N195" t="str">
        <f t="shared" si="9"/>
        <v>Excelsa</v>
      </c>
      <c r="O195" t="str">
        <f t="shared" ref="O195:O258" si="11">IF(J195="M","Medium",IF(J195= "L", "Light",IF(J195="D", "Dark","")))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_xlfn.XLOOKUP(orders!C196,customers!$A$1:$A$1001,customers!$B$1:$B$1001,,0)</f>
        <v>Emlynne Laird</v>
      </c>
      <c r="G196" s="2" t="str">
        <f>IF(_xlfn.XLOOKUP(orders!C196,customers!$A$1:$A$1001,customers!$C$1:$C$1001,,0)=0,"",_xlfn.XLOOKUP(orders!C196,customers!$A$1:$A$1001,customers!$C$1:$C$1001,,0))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10"/>
        <v>36.450000000000003</v>
      </c>
      <c r="N196" t="str">
        <f t="shared" si="9"/>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_xlfn.XLOOKUP(orders!C197,customers!$A$1:$A$1001,customers!$B$1:$B$1001,,0)</f>
        <v>Marlena Howsden</v>
      </c>
      <c r="G197" s="2" t="str">
        <f>IF(_xlfn.XLOOKUP(orders!C197,customers!$A$1:$A$1001,customers!$C$1:$C$1001,,0)=0,"",_xlfn.XLOOKUP(orders!C197,customers!$A$1:$A$1001,customers!$C$1:$C$1001,,0))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10"/>
        <v>38.849999999999994</v>
      </c>
      <c r="N197" t="str">
        <f t="shared" si="9"/>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_xlfn.XLOOKUP(orders!C198,customers!$A$1:$A$1001,customers!$B$1:$B$1001,,0)</f>
        <v>Nealson Cuttler</v>
      </c>
      <c r="G198" s="2" t="str">
        <f>IF(_xlfn.XLOOKUP(orders!C198,customers!$A$1:$A$1001,customers!$C$1:$C$1001,,0)=0,"",_xlfn.XLOOKUP(orders!C198,customers!$A$1:$A$1001,customers!$C$1:$C$1001,,0))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10"/>
        <v>53.46</v>
      </c>
      <c r="N198" t="str">
        <f t="shared" si="9"/>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_xlfn.XLOOKUP(orders!C199,customers!$A$1:$A$1001,customers!$B$1:$B$1001,,0)</f>
        <v>Nealson Cuttler</v>
      </c>
      <c r="G199" s="2" t="str">
        <f>IF(_xlfn.XLOOKUP(orders!C199,customers!$A$1:$A$1001,customers!$C$1:$C$1001,,0)=0,"",_xlfn.XLOOKUP(orders!C199,customers!$A$1:$A$1001,customers!$C$1:$C$1001,,0))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10"/>
        <v>59.569999999999993</v>
      </c>
      <c r="N199" t="str">
        <f t="shared" si="9"/>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_xlfn.XLOOKUP(orders!C200,customers!$A$1:$A$1001,customers!$B$1:$B$1001,,0)</f>
        <v>Nealson Cuttler</v>
      </c>
      <c r="G200" s="2" t="str">
        <f>IF(_xlfn.XLOOKUP(orders!C200,customers!$A$1:$A$1001,customers!$C$1:$C$1001,,0)=0,"",_xlfn.XLOOKUP(orders!C200,customers!$A$1:$A$1001,customers!$C$1:$C$1001,,0))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10"/>
        <v>89.35499999999999</v>
      </c>
      <c r="N200" t="str">
        <f t="shared" ref="N200:N263" si="12">IF(I200="Rob","Robusta",IF(I200="Exc","Excelsa",IF(I200="Ara","Arabica",IF(I200="Lib","Liberica"))))</f>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_xlfn.XLOOKUP(orders!C201,customers!$A$1:$A$1001,customers!$B$1:$B$1001,,0)</f>
        <v>Nealson Cuttler</v>
      </c>
      <c r="G201" s="2" t="str">
        <f>IF(_xlfn.XLOOKUP(orders!C201,customers!$A$1:$A$1001,customers!$C$1:$C$1001,,0)=0,"",_xlfn.XLOOKUP(orders!C201,customers!$A$1:$A$1001,customers!$C$1:$C$1001,,0))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10"/>
        <v>38.04</v>
      </c>
      <c r="N201" t="str">
        <f t="shared" si="12"/>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_xlfn.XLOOKUP(orders!C202,customers!$A$1:$A$1001,customers!$B$1:$B$1001,,0)</f>
        <v>Nealson Cuttler</v>
      </c>
      <c r="G202" s="2" t="str">
        <f>IF(_xlfn.XLOOKUP(orders!C202,customers!$A$1:$A$1001,customers!$C$1:$C$1001,,0)=0,"",_xlfn.XLOOKUP(orders!C202,customers!$A$1:$A$1001,customers!$C$1:$C$1001,,0))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10"/>
        <v>41.25</v>
      </c>
      <c r="N202" t="str">
        <f t="shared" si="12"/>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_xlfn.XLOOKUP(orders!C203,customers!$A$1:$A$1001,customers!$B$1:$B$1001,,0)</f>
        <v>Adriana Lazarus</v>
      </c>
      <c r="G203" s="2" t="str">
        <f>IF(_xlfn.XLOOKUP(orders!C203,customers!$A$1:$A$1001,customers!$C$1:$C$1001,,0)=0,"",_xlfn.XLOOKUP(orders!C203,customers!$A$1:$A$1001,customers!$C$1:$C$1001,,0))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10"/>
        <v>57.06</v>
      </c>
      <c r="N203" t="str">
        <f t="shared" si="12"/>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_xlfn.XLOOKUP(orders!C204,customers!$A$1:$A$1001,customers!$B$1:$B$1001,,0)</f>
        <v>Tallie felip</v>
      </c>
      <c r="G204" s="2" t="str">
        <f>IF(_xlfn.XLOOKUP(orders!C204,customers!$A$1:$A$1001,customers!$C$1:$C$1001,,0)=0,"",_xlfn.XLOOKUP(orders!C204,customers!$A$1:$A$1001,customers!$C$1:$C$1001,,0))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10"/>
        <v>178.70999999999998</v>
      </c>
      <c r="N204" t="str">
        <f t="shared" si="12"/>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_xlfn.XLOOKUP(orders!C205,customers!$A$1:$A$1001,customers!$B$1:$B$1001,,0)</f>
        <v>Vanna Le - Count</v>
      </c>
      <c r="G205" s="2" t="str">
        <f>IF(_xlfn.XLOOKUP(orders!C205,customers!$A$1:$A$1001,customers!$C$1:$C$1001,,0)=0,"",_xlfn.XLOOKUP(orders!C205,customers!$A$1:$A$1001,customers!$C$1:$C$1001,,0))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10"/>
        <v>4.7549999999999999</v>
      </c>
      <c r="N205" t="str">
        <f t="shared" si="12"/>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_xlfn.XLOOKUP(orders!C206,customers!$A$1:$A$1001,customers!$B$1:$B$1001,,0)</f>
        <v>Sarette Ducarel</v>
      </c>
      <c r="G206" s="2" t="str">
        <f>IF(_xlfn.XLOOKUP(orders!C206,customers!$A$1:$A$1001,customers!$C$1:$C$1001,,0)=0,"",_xlfn.XLOOKUP(orders!C206,customers!$A$1:$A$1001,customers!$C$1:$C$1001,,0))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10"/>
        <v>82.5</v>
      </c>
      <c r="N206" t="str">
        <f t="shared" si="12"/>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_xlfn.XLOOKUP(orders!C207,customers!$A$1:$A$1001,customers!$B$1:$B$1001,,0)</f>
        <v>Kendra Glison</v>
      </c>
      <c r="G207" s="2" t="str">
        <f>IF(_xlfn.XLOOKUP(orders!C207,customers!$A$1:$A$1001,customers!$C$1:$C$1001,,0)=0,"",_xlfn.XLOOKUP(orders!C207,customers!$A$1:$A$1001,customers!$C$1:$C$1001,,0))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10"/>
        <v>8.0549999999999997</v>
      </c>
      <c r="N207" t="str">
        <f t="shared" si="12"/>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_xlfn.XLOOKUP(orders!C208,customers!$A$1:$A$1001,customers!$B$1:$B$1001,,0)</f>
        <v>Nertie Poolman</v>
      </c>
      <c r="G208" s="2" t="str">
        <f>IF(_xlfn.XLOOKUP(orders!C208,customers!$A$1:$A$1001,customers!$C$1:$C$1001,,0)=0,"",_xlfn.XLOOKUP(orders!C208,customers!$A$1:$A$1001,customers!$C$1:$C$1001,,0))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10"/>
        <v>22.5</v>
      </c>
      <c r="N208" t="str">
        <f t="shared" si="12"/>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_xlfn.XLOOKUP(orders!C209,customers!$A$1:$A$1001,customers!$B$1:$B$1001,,0)</f>
        <v>Orbadiah Duny</v>
      </c>
      <c r="G209" s="2" t="str">
        <f>IF(_xlfn.XLOOKUP(orders!C209,customers!$A$1:$A$1001,customers!$C$1:$C$1001,,0)=0,"",_xlfn.XLOOKUP(orders!C209,customers!$A$1:$A$1001,customers!$C$1:$C$1001,,0))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10"/>
        <v>40.5</v>
      </c>
      <c r="N209" t="str">
        <f t="shared" si="12"/>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_xlfn.XLOOKUP(orders!C210,customers!$A$1:$A$1001,customers!$B$1:$B$1001,,0)</f>
        <v>Constance Halfhide</v>
      </c>
      <c r="G210" s="2" t="str">
        <f>IF(_xlfn.XLOOKUP(orders!C210,customers!$A$1:$A$1001,customers!$C$1:$C$1001,,0)=0,"",_xlfn.XLOOKUP(orders!C210,customers!$A$1:$A$1001,customers!$C$1:$C$1001,,0))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10"/>
        <v>29.16</v>
      </c>
      <c r="N210" t="str">
        <f t="shared" si="12"/>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_xlfn.XLOOKUP(orders!C211,customers!$A$1:$A$1001,customers!$B$1:$B$1001,,0)</f>
        <v>Fransisco Malecky</v>
      </c>
      <c r="G211" s="2" t="str">
        <f>IF(_xlfn.XLOOKUP(orders!C211,customers!$A$1:$A$1001,customers!$C$1:$C$1001,,0)=0,"",_xlfn.XLOOKUP(orders!C211,customers!$A$1:$A$1001,customers!$C$1:$C$1001,,0))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10"/>
        <v>6.75</v>
      </c>
      <c r="N211" t="str">
        <f t="shared" si="12"/>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_xlfn.XLOOKUP(orders!C212,customers!$A$1:$A$1001,customers!$B$1:$B$1001,,0)</f>
        <v>Anselma Attwater</v>
      </c>
      <c r="G212" s="2" t="str">
        <f>IF(_xlfn.XLOOKUP(orders!C212,customers!$A$1:$A$1001,customers!$C$1:$C$1001,,0)=0,"",_xlfn.XLOOKUP(orders!C212,customers!$A$1:$A$1001,customers!$C$1:$C$1001,,0))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10"/>
        <v>51.8</v>
      </c>
      <c r="N212" t="str">
        <f t="shared" si="12"/>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_xlfn.XLOOKUP(orders!C213,customers!$A$1:$A$1001,customers!$B$1:$B$1001,,0)</f>
        <v>Minette Whellans</v>
      </c>
      <c r="G213" s="2" t="str">
        <f>IF(_xlfn.XLOOKUP(orders!C213,customers!$A$1:$A$1001,customers!$C$1:$C$1001,,0)=0,"",_xlfn.XLOOKUP(orders!C213,customers!$A$1:$A$1001,customers!$C$1:$C$1001,,0))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10"/>
        <v>53.46</v>
      </c>
      <c r="N213" t="str">
        <f t="shared" si="12"/>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_xlfn.XLOOKUP(orders!C214,customers!$A$1:$A$1001,customers!$B$1:$B$1001,,0)</f>
        <v>Dael Camilletti</v>
      </c>
      <c r="G214" s="2" t="str">
        <f>IF(_xlfn.XLOOKUP(orders!C214,customers!$A$1:$A$1001,customers!$C$1:$C$1001,,0)=0,"",_xlfn.XLOOKUP(orders!C214,customers!$A$1:$A$1001,customers!$C$1:$C$1001,,0))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10"/>
        <v>14.58</v>
      </c>
      <c r="N214" t="str">
        <f t="shared" si="12"/>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_xlfn.XLOOKUP(orders!C215,customers!$A$1:$A$1001,customers!$B$1:$B$1001,,0)</f>
        <v>Emiline Galgey</v>
      </c>
      <c r="G215" s="2" t="str">
        <f>IF(_xlfn.XLOOKUP(orders!C215,customers!$A$1:$A$1001,customers!$C$1:$C$1001,,0)=0,"",_xlfn.XLOOKUP(orders!C215,customers!$A$1:$A$1001,customers!$C$1:$C$1001,,0))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10"/>
        <v>20.584999999999997</v>
      </c>
      <c r="N215" t="str">
        <f t="shared" si="12"/>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_xlfn.XLOOKUP(orders!C216,customers!$A$1:$A$1001,customers!$B$1:$B$1001,,0)</f>
        <v>Murdock Hame</v>
      </c>
      <c r="G216" s="2" t="str">
        <f>IF(_xlfn.XLOOKUP(orders!C216,customers!$A$1:$A$1001,customers!$C$1:$C$1001,,0)=0,"",_xlfn.XLOOKUP(orders!C216,customers!$A$1:$A$1001,customers!$C$1:$C$1001,,0))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10"/>
        <v>31.7</v>
      </c>
      <c r="N216" t="str">
        <f t="shared" si="12"/>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_xlfn.XLOOKUP(orders!C217,customers!$A$1:$A$1001,customers!$B$1:$B$1001,,0)</f>
        <v>Ilka Gurnee</v>
      </c>
      <c r="G217" s="2" t="str">
        <f>IF(_xlfn.XLOOKUP(orders!C217,customers!$A$1:$A$1001,customers!$C$1:$C$1001,,0)=0,"",_xlfn.XLOOKUP(orders!C217,customers!$A$1:$A$1001,customers!$C$1:$C$1001,,0))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10"/>
        <v>23.31</v>
      </c>
      <c r="N217" t="str">
        <f t="shared" si="12"/>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_xlfn.XLOOKUP(orders!C218,customers!$A$1:$A$1001,customers!$B$1:$B$1001,,0)</f>
        <v>Alfy Snowding</v>
      </c>
      <c r="G218" s="2" t="str">
        <f>IF(_xlfn.XLOOKUP(orders!C218,customers!$A$1:$A$1001,customers!$C$1:$C$1001,,0)=0,"",_xlfn.XLOOKUP(orders!C218,customers!$A$1:$A$1001,customers!$C$1:$C$1001,,0))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10"/>
        <v>58.2</v>
      </c>
      <c r="N218" t="str">
        <f t="shared" si="12"/>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_xlfn.XLOOKUP(orders!C219,customers!$A$1:$A$1001,customers!$B$1:$B$1001,,0)</f>
        <v>Godfry Poinsett</v>
      </c>
      <c r="G219" s="2" t="str">
        <f>IF(_xlfn.XLOOKUP(orders!C219,customers!$A$1:$A$1001,customers!$C$1:$C$1001,,0)=0,"",_xlfn.XLOOKUP(orders!C219,customers!$A$1:$A$1001,customers!$C$1:$C$1001,,0))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10"/>
        <v>35.64</v>
      </c>
      <c r="N219" t="str">
        <f t="shared" si="12"/>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_xlfn.XLOOKUP(orders!C220,customers!$A$1:$A$1001,customers!$B$1:$B$1001,,0)</f>
        <v>Rem Furman</v>
      </c>
      <c r="G220" s="2" t="str">
        <f>IF(_xlfn.XLOOKUP(orders!C220,customers!$A$1:$A$1001,customers!$C$1:$C$1001,,0)=0,"",_xlfn.XLOOKUP(orders!C220,customers!$A$1:$A$1001,customers!$C$1:$C$1001,,0))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10"/>
        <v>56.25</v>
      </c>
      <c r="N220" t="str">
        <f t="shared" si="12"/>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_xlfn.XLOOKUP(orders!C221,customers!$A$1:$A$1001,customers!$B$1:$B$1001,,0)</f>
        <v>Charis Crosier</v>
      </c>
      <c r="G221" s="2" t="str">
        <f>IF(_xlfn.XLOOKUP(orders!C221,customers!$A$1:$A$1001,customers!$C$1:$C$1001,,0)=0,"",_xlfn.XLOOKUP(orders!C221,customers!$A$1:$A$1001,customers!$C$1:$C$1001,,0))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10"/>
        <v>10.754999999999999</v>
      </c>
      <c r="N221" t="str">
        <f t="shared" si="12"/>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_xlfn.XLOOKUP(orders!C222,customers!$A$1:$A$1001,customers!$B$1:$B$1001,,0)</f>
        <v>Charis Crosier</v>
      </c>
      <c r="G222" s="2" t="str">
        <f>IF(_xlfn.XLOOKUP(orders!C222,customers!$A$1:$A$1001,customers!$C$1:$C$1001,,0)=0,"",_xlfn.XLOOKUP(orders!C222,customers!$A$1:$A$1001,customers!$C$1:$C$1001,,0))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10"/>
        <v>14.924999999999999</v>
      </c>
      <c r="N222" t="str">
        <f t="shared" si="12"/>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_xlfn.XLOOKUP(orders!C223,customers!$A$1:$A$1001,customers!$B$1:$B$1001,,0)</f>
        <v>Lenka Rushmer</v>
      </c>
      <c r="G223" s="2" t="str">
        <f>IF(_xlfn.XLOOKUP(orders!C223,customers!$A$1:$A$1001,customers!$C$1:$C$1001,,0)=0,"",_xlfn.XLOOKUP(orders!C223,customers!$A$1:$A$1001,customers!$C$1:$C$1001,,0))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10"/>
        <v>77.699999999999989</v>
      </c>
      <c r="N223" t="str">
        <f t="shared" si="12"/>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_xlfn.XLOOKUP(orders!C224,customers!$A$1:$A$1001,customers!$B$1:$B$1001,,0)</f>
        <v>Waneta Edinborough</v>
      </c>
      <c r="G224" s="2" t="str">
        <f>IF(_xlfn.XLOOKUP(orders!C224,customers!$A$1:$A$1001,customers!$C$1:$C$1001,,0)=0,"",_xlfn.XLOOKUP(orders!C224,customers!$A$1:$A$1001,customers!$C$1:$C$1001,,0))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10"/>
        <v>23.31</v>
      </c>
      <c r="N224" t="str">
        <f t="shared" si="12"/>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_xlfn.XLOOKUP(orders!C225,customers!$A$1:$A$1001,customers!$B$1:$B$1001,,0)</f>
        <v>Bobbe Piggott</v>
      </c>
      <c r="G225" s="2" t="str">
        <f>IF(_xlfn.XLOOKUP(orders!C225,customers!$A$1:$A$1001,customers!$C$1:$C$1001,,0)=0,"",_xlfn.XLOOKUP(orders!C225,customers!$A$1:$A$1001,customers!$C$1:$C$1001,,0))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10"/>
        <v>59.4</v>
      </c>
      <c r="N225" t="str">
        <f t="shared" si="12"/>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_xlfn.XLOOKUP(orders!C226,customers!$A$1:$A$1001,customers!$B$1:$B$1001,,0)</f>
        <v>Ketty Bromehead</v>
      </c>
      <c r="G226" s="2" t="str">
        <f>IF(_xlfn.XLOOKUP(orders!C226,customers!$A$1:$A$1001,customers!$C$1:$C$1001,,0)=0,"",_xlfn.XLOOKUP(orders!C226,customers!$A$1:$A$1001,customers!$C$1:$C$1001,,0))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10"/>
        <v>119.13999999999999</v>
      </c>
      <c r="N226" t="str">
        <f t="shared" si="12"/>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_xlfn.XLOOKUP(orders!C227,customers!$A$1:$A$1001,customers!$B$1:$B$1001,,0)</f>
        <v>Elsbeth Westerman</v>
      </c>
      <c r="G227" s="2" t="str">
        <f>IF(_xlfn.XLOOKUP(orders!C227,customers!$A$1:$A$1001,customers!$C$1:$C$1001,,0)=0,"",_xlfn.XLOOKUP(orders!C227,customers!$A$1:$A$1001,customers!$C$1:$C$1001,,0))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10"/>
        <v>14.339999999999998</v>
      </c>
      <c r="N227" t="str">
        <f t="shared" si="12"/>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_xlfn.XLOOKUP(orders!C228,customers!$A$1:$A$1001,customers!$B$1:$B$1001,,0)</f>
        <v>Anabelle Hutchens</v>
      </c>
      <c r="G228" s="2" t="str">
        <f>IF(_xlfn.XLOOKUP(orders!C228,customers!$A$1:$A$1001,customers!$C$1:$C$1001,,0)=0,"",_xlfn.XLOOKUP(orders!C228,customers!$A$1:$A$1001,customers!$C$1:$C$1001,,0))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10"/>
        <v>129.37499999999997</v>
      </c>
      <c r="N228" t="str">
        <f t="shared" si="12"/>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_xlfn.XLOOKUP(orders!C229,customers!$A$1:$A$1001,customers!$B$1:$B$1001,,0)</f>
        <v>Noak Wyvill</v>
      </c>
      <c r="G229" s="2" t="str">
        <f>IF(_xlfn.XLOOKUP(orders!C229,customers!$A$1:$A$1001,customers!$C$1:$C$1001,,0)=0,"",_xlfn.XLOOKUP(orders!C229,customers!$A$1:$A$1001,customers!$C$1:$C$1001,,0))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10"/>
        <v>16.11</v>
      </c>
      <c r="N229" t="str">
        <f t="shared" si="12"/>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_xlfn.XLOOKUP(orders!C230,customers!$A$1:$A$1001,customers!$B$1:$B$1001,,0)</f>
        <v>Beltran Mathon</v>
      </c>
      <c r="G230" s="2" t="str">
        <f>IF(_xlfn.XLOOKUP(orders!C230,customers!$A$1:$A$1001,customers!$C$1:$C$1001,,0)=0,"",_xlfn.XLOOKUP(orders!C230,customers!$A$1:$A$1001,customers!$C$1:$C$1001,,0))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10"/>
        <v>17.924999999999997</v>
      </c>
      <c r="N230" t="str">
        <f t="shared" si="12"/>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_xlfn.XLOOKUP(orders!C231,customers!$A$1:$A$1001,customers!$B$1:$B$1001,,0)</f>
        <v>Kristos Streight</v>
      </c>
      <c r="G231" s="2" t="str">
        <f>IF(_xlfn.XLOOKUP(orders!C231,customers!$A$1:$A$1001,customers!$C$1:$C$1001,,0)=0,"",_xlfn.XLOOKUP(orders!C231,customers!$A$1:$A$1001,customers!$C$1:$C$1001,,0))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10"/>
        <v>8.73</v>
      </c>
      <c r="N231" t="str">
        <f t="shared" si="12"/>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_xlfn.XLOOKUP(orders!C232,customers!$A$1:$A$1001,customers!$B$1:$B$1001,,0)</f>
        <v>Portie Cutchie</v>
      </c>
      <c r="G232" s="2" t="str">
        <f>IF(_xlfn.XLOOKUP(orders!C232,customers!$A$1:$A$1001,customers!$C$1:$C$1001,,0)=0,"",_xlfn.XLOOKUP(orders!C232,customers!$A$1:$A$1001,customers!$C$1:$C$1001,,0))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10"/>
        <v>51.749999999999993</v>
      </c>
      <c r="N232" t="str">
        <f t="shared" si="12"/>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_xlfn.XLOOKUP(orders!C233,customers!$A$1:$A$1001,customers!$B$1:$B$1001,,0)</f>
        <v>Sinclare Edsell</v>
      </c>
      <c r="G233" s="2" t="str">
        <f>IF(_xlfn.XLOOKUP(orders!C233,customers!$A$1:$A$1001,customers!$C$1:$C$1001,,0)=0,"",_xlfn.XLOOKUP(orders!C233,customers!$A$1:$A$1001,customers!$C$1:$C$1001,,0))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10"/>
        <v>8.73</v>
      </c>
      <c r="N233" t="str">
        <f t="shared" si="12"/>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_xlfn.XLOOKUP(orders!C234,customers!$A$1:$A$1001,customers!$B$1:$B$1001,,0)</f>
        <v>Conny Gheraldi</v>
      </c>
      <c r="G234" s="2" t="str">
        <f>IF(_xlfn.XLOOKUP(orders!C234,customers!$A$1:$A$1001,customers!$C$1:$C$1001,,0)=0,"",_xlfn.XLOOKUP(orders!C234,customers!$A$1:$A$1001,customers!$C$1:$C$1001,,0))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10"/>
        <v>23.774999999999999</v>
      </c>
      <c r="N234" t="str">
        <f t="shared" si="12"/>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_xlfn.XLOOKUP(orders!C235,customers!$A$1:$A$1001,customers!$B$1:$B$1001,,0)</f>
        <v>Beryle Kenwell</v>
      </c>
      <c r="G235" s="2" t="str">
        <f>IF(_xlfn.XLOOKUP(orders!C235,customers!$A$1:$A$1001,customers!$C$1:$C$1001,,0)=0,"",_xlfn.XLOOKUP(orders!C235,customers!$A$1:$A$1001,customers!$C$1:$C$1001,,0))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10"/>
        <v>20.625</v>
      </c>
      <c r="N235" t="str">
        <f t="shared" si="12"/>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_xlfn.XLOOKUP(orders!C236,customers!$A$1:$A$1001,customers!$B$1:$B$1001,,0)</f>
        <v>Tomas Sutty</v>
      </c>
      <c r="G236" s="2" t="str">
        <f>IF(_xlfn.XLOOKUP(orders!C236,customers!$A$1:$A$1001,customers!$C$1:$C$1001,,0)=0,"",_xlfn.XLOOKUP(orders!C236,customers!$A$1:$A$1001,customers!$C$1:$C$1001,,0))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10"/>
        <v>36.454999999999998</v>
      </c>
      <c r="N236" t="str">
        <f t="shared" si="12"/>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_xlfn.XLOOKUP(orders!C237,customers!$A$1:$A$1001,customers!$B$1:$B$1001,,0)</f>
        <v>Samuele Ales0</v>
      </c>
      <c r="G237" s="2" t="str">
        <f>IF(_xlfn.XLOOKUP(orders!C237,customers!$A$1:$A$1001,customers!$C$1:$C$1001,,0)=0,"",_xlfn.XLOOKUP(orders!C237,customers!$A$1:$A$1001,customers!$C$1:$C$1001,,0))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10"/>
        <v>182.27499999999998</v>
      </c>
      <c r="N237" t="str">
        <f t="shared" si="12"/>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_xlfn.XLOOKUP(orders!C238,customers!$A$1:$A$1001,customers!$B$1:$B$1001,,0)</f>
        <v>Carlie Harce</v>
      </c>
      <c r="G238" s="2" t="str">
        <f>IF(_xlfn.XLOOKUP(orders!C238,customers!$A$1:$A$1001,customers!$C$1:$C$1001,,0)=0,"",_xlfn.XLOOKUP(orders!C238,customers!$A$1:$A$1001,customers!$C$1:$C$1001,,0))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10"/>
        <v>89.35499999999999</v>
      </c>
      <c r="N238" t="str">
        <f t="shared" si="12"/>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_xlfn.XLOOKUP(orders!C239,customers!$A$1:$A$1001,customers!$B$1:$B$1001,,0)</f>
        <v>Craggy Bril</v>
      </c>
      <c r="G239" s="2" t="str">
        <f>IF(_xlfn.XLOOKUP(orders!C239,customers!$A$1:$A$1001,customers!$C$1:$C$1001,,0)=0,"",_xlfn.XLOOKUP(orders!C239,customers!$A$1:$A$1001,customers!$C$1:$C$1001,,0))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10"/>
        <v>3.5849999999999995</v>
      </c>
      <c r="N239" t="str">
        <f t="shared" si="12"/>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_xlfn.XLOOKUP(orders!C240,customers!$A$1:$A$1001,customers!$B$1:$B$1001,,0)</f>
        <v>Friederike Drysdale</v>
      </c>
      <c r="G240" s="2" t="str">
        <f>IF(_xlfn.XLOOKUP(orders!C240,customers!$A$1:$A$1001,customers!$C$1:$C$1001,,0)=0,"",_xlfn.XLOOKUP(orders!C240,customers!$A$1:$A$1001,customers!$C$1:$C$1001,,0))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10"/>
        <v>45.769999999999996</v>
      </c>
      <c r="N240" t="str">
        <f t="shared" si="12"/>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_xlfn.XLOOKUP(orders!C241,customers!$A$1:$A$1001,customers!$B$1:$B$1001,,0)</f>
        <v>Devon Magowan</v>
      </c>
      <c r="G241" s="2" t="str">
        <f>IF(_xlfn.XLOOKUP(orders!C241,customers!$A$1:$A$1001,customers!$C$1:$C$1001,,0)=0,"",_xlfn.XLOOKUP(orders!C241,customers!$A$1:$A$1001,customers!$C$1:$C$1001,,0))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10"/>
        <v>59.4</v>
      </c>
      <c r="N241" t="str">
        <f t="shared" si="12"/>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_xlfn.XLOOKUP(orders!C242,customers!$A$1:$A$1001,customers!$B$1:$B$1001,,0)</f>
        <v>Codi Littrell</v>
      </c>
      <c r="G242" s="2" t="str">
        <f>IF(_xlfn.XLOOKUP(orders!C242,customers!$A$1:$A$1001,customers!$C$1:$C$1001,,0)=0,"",_xlfn.XLOOKUP(orders!C242,customers!$A$1:$A$1001,customers!$C$1:$C$1001,,0))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10"/>
        <v>155.24999999999997</v>
      </c>
      <c r="N242" t="str">
        <f t="shared" si="12"/>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_xlfn.XLOOKUP(orders!C243,customers!$A$1:$A$1001,customers!$B$1:$B$1001,,0)</f>
        <v>Christel Speak</v>
      </c>
      <c r="G243" s="2" t="str">
        <f>IF(_xlfn.XLOOKUP(orders!C243,customers!$A$1:$A$1001,customers!$C$1:$C$1001,,0)=0,"",_xlfn.XLOOKUP(orders!C243,customers!$A$1:$A$1001,customers!$C$1:$C$1001,,0))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10"/>
        <v>45.769999999999996</v>
      </c>
      <c r="N243" t="str">
        <f t="shared" si="12"/>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_xlfn.XLOOKUP(orders!C244,customers!$A$1:$A$1001,customers!$B$1:$B$1001,,0)</f>
        <v>Sibella Rushbrooke</v>
      </c>
      <c r="G244" s="2" t="str">
        <f>IF(_xlfn.XLOOKUP(orders!C244,customers!$A$1:$A$1001,customers!$C$1:$C$1001,,0)=0,"",_xlfn.XLOOKUP(orders!C244,customers!$A$1:$A$1001,customers!$C$1:$C$1001,,0))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10"/>
        <v>36.450000000000003</v>
      </c>
      <c r="N244" t="str">
        <f t="shared" si="12"/>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_xlfn.XLOOKUP(orders!C245,customers!$A$1:$A$1001,customers!$B$1:$B$1001,,0)</f>
        <v>Tammie Drynan</v>
      </c>
      <c r="G245" s="2" t="str">
        <f>IF(_xlfn.XLOOKUP(orders!C245,customers!$A$1:$A$1001,customers!$C$1:$C$1001,,0)=0,"",_xlfn.XLOOKUP(orders!C245,customers!$A$1:$A$1001,customers!$C$1:$C$1001,,0))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10"/>
        <v>29.16</v>
      </c>
      <c r="N245" t="str">
        <f t="shared" si="12"/>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_xlfn.XLOOKUP(orders!C246,customers!$A$1:$A$1001,customers!$B$1:$B$1001,,0)</f>
        <v>Effie Yurkov</v>
      </c>
      <c r="G246" s="2" t="str">
        <f>IF(_xlfn.XLOOKUP(orders!C246,customers!$A$1:$A$1001,customers!$C$1:$C$1001,,0)=0,"",_xlfn.XLOOKUP(orders!C246,customers!$A$1:$A$1001,customers!$C$1:$C$1001,,0))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10"/>
        <v>133.85999999999999</v>
      </c>
      <c r="N246" t="str">
        <f t="shared" si="12"/>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_xlfn.XLOOKUP(orders!C247,customers!$A$1:$A$1001,customers!$B$1:$B$1001,,0)</f>
        <v>Lexie Mallan</v>
      </c>
      <c r="G247" s="2" t="str">
        <f>IF(_xlfn.XLOOKUP(orders!C247,customers!$A$1:$A$1001,customers!$C$1:$C$1001,,0)=0,"",_xlfn.XLOOKUP(orders!C247,customers!$A$1:$A$1001,customers!$C$1:$C$1001,,0))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10"/>
        <v>23.774999999999999</v>
      </c>
      <c r="N247" t="str">
        <f t="shared" si="12"/>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_xlfn.XLOOKUP(orders!C248,customers!$A$1:$A$1001,customers!$B$1:$B$1001,,0)</f>
        <v>Georgena Bentjens</v>
      </c>
      <c r="G248" s="2" t="str">
        <f>IF(_xlfn.XLOOKUP(orders!C248,customers!$A$1:$A$1001,customers!$C$1:$C$1001,,0)=0,"",_xlfn.XLOOKUP(orders!C248,customers!$A$1:$A$1001,customers!$C$1:$C$1001,,0))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10"/>
        <v>38.849999999999994</v>
      </c>
      <c r="N248" t="str">
        <f t="shared" si="12"/>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_xlfn.XLOOKUP(orders!C249,customers!$A$1:$A$1001,customers!$B$1:$B$1001,,0)</f>
        <v>Delmar Beasant</v>
      </c>
      <c r="G249" s="2" t="str">
        <f>IF(_xlfn.XLOOKUP(orders!C249,customers!$A$1:$A$1001,customers!$C$1:$C$1001,,0)=0,"",_xlfn.XLOOKUP(orders!C249,customers!$A$1:$A$1001,customers!$C$1:$C$1001,,0))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10"/>
        <v>21.509999999999998</v>
      </c>
      <c r="N249" t="str">
        <f t="shared" si="12"/>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_xlfn.XLOOKUP(orders!C250,customers!$A$1:$A$1001,customers!$B$1:$B$1001,,0)</f>
        <v>Lyn Entwistle</v>
      </c>
      <c r="G250" s="2" t="str">
        <f>IF(_xlfn.XLOOKUP(orders!C250,customers!$A$1:$A$1001,customers!$C$1:$C$1001,,0)=0,"",_xlfn.XLOOKUP(orders!C250,customers!$A$1:$A$1001,customers!$C$1:$C$1001,,0))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10"/>
        <v>9.9499999999999993</v>
      </c>
      <c r="N250" t="str">
        <f t="shared" si="12"/>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_xlfn.XLOOKUP(orders!C251,customers!$A$1:$A$1001,customers!$B$1:$B$1001,,0)</f>
        <v>Zacharias Kiffe</v>
      </c>
      <c r="G251" s="2" t="str">
        <f>IF(_xlfn.XLOOKUP(orders!C251,customers!$A$1:$A$1001,customers!$C$1:$C$1001,,0)=0,"",_xlfn.XLOOKUP(orders!C251,customers!$A$1:$A$1001,customers!$C$1:$C$1001,,0))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10"/>
        <v>15.85</v>
      </c>
      <c r="N251" t="str">
        <f t="shared" si="12"/>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_xlfn.XLOOKUP(orders!C252,customers!$A$1:$A$1001,customers!$B$1:$B$1001,,0)</f>
        <v>Mercedes Acott</v>
      </c>
      <c r="G252" s="2" t="str">
        <f>IF(_xlfn.XLOOKUP(orders!C252,customers!$A$1:$A$1001,customers!$C$1:$C$1001,,0)=0,"",_xlfn.XLOOKUP(orders!C252,customers!$A$1:$A$1001,customers!$C$1:$C$1001,,0))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10"/>
        <v>2.9849999999999999</v>
      </c>
      <c r="N252" t="str">
        <f t="shared" si="12"/>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_xlfn.XLOOKUP(orders!C253,customers!$A$1:$A$1001,customers!$B$1:$B$1001,,0)</f>
        <v>Connor Heaviside</v>
      </c>
      <c r="G253" s="2" t="str">
        <f>IF(_xlfn.XLOOKUP(orders!C253,customers!$A$1:$A$1001,customers!$C$1:$C$1001,,0)=0,"",_xlfn.XLOOKUP(orders!C253,customers!$A$1:$A$1001,customers!$C$1:$C$1001,,0))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10"/>
        <v>68.75</v>
      </c>
      <c r="N253" t="str">
        <f t="shared" si="12"/>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_xlfn.XLOOKUP(orders!C254,customers!$A$1:$A$1001,customers!$B$1:$B$1001,,0)</f>
        <v>Devy Bulbrook</v>
      </c>
      <c r="G254" s="2" t="str">
        <f>IF(_xlfn.XLOOKUP(orders!C254,customers!$A$1:$A$1001,customers!$C$1:$C$1001,,0)=0,"",_xlfn.XLOOKUP(orders!C254,customers!$A$1:$A$1001,customers!$C$1:$C$1001,,0))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10"/>
        <v>29.849999999999998</v>
      </c>
      <c r="N254" t="str">
        <f t="shared" si="12"/>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_xlfn.XLOOKUP(orders!C255,customers!$A$1:$A$1001,customers!$B$1:$B$1001,,0)</f>
        <v>Leia Kernan</v>
      </c>
      <c r="G255" s="2" t="str">
        <f>IF(_xlfn.XLOOKUP(orders!C255,customers!$A$1:$A$1001,customers!$C$1:$C$1001,,0)=0,"",_xlfn.XLOOKUP(orders!C255,customers!$A$1:$A$1001,customers!$C$1:$C$1001,,0))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10"/>
        <v>58.2</v>
      </c>
      <c r="N255" t="str">
        <f t="shared" si="12"/>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_xlfn.XLOOKUP(orders!C256,customers!$A$1:$A$1001,customers!$B$1:$B$1001,,0)</f>
        <v>Rosaline McLae</v>
      </c>
      <c r="G256" s="2" t="str">
        <f>IF(_xlfn.XLOOKUP(orders!C256,customers!$A$1:$A$1001,customers!$C$1:$C$1001,,0)=0,"",_xlfn.XLOOKUP(orders!C256,customers!$A$1:$A$1001,customers!$C$1:$C$1001,,0))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10"/>
        <v>28.679999999999996</v>
      </c>
      <c r="N256" t="str">
        <f t="shared" si="12"/>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_xlfn.XLOOKUP(orders!C257,customers!$A$1:$A$1001,customers!$B$1:$B$1001,,0)</f>
        <v>Cleve Blowfelde</v>
      </c>
      <c r="G257" s="2" t="str">
        <f>IF(_xlfn.XLOOKUP(orders!C257,customers!$A$1:$A$1001,customers!$C$1:$C$1001,,0)=0,"",_xlfn.XLOOKUP(orders!C257,customers!$A$1:$A$1001,customers!$C$1:$C$1001,,0))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10"/>
        <v>21.509999999999998</v>
      </c>
      <c r="N257" t="str">
        <f t="shared" si="12"/>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_xlfn.XLOOKUP(orders!C258,customers!$A$1:$A$1001,customers!$B$1:$B$1001,,0)</f>
        <v>Zacharias Kiffe</v>
      </c>
      <c r="G258" s="2" t="str">
        <f>IF(_xlfn.XLOOKUP(orders!C258,customers!$A$1:$A$1001,customers!$C$1:$C$1001,,0)=0,"",_xlfn.XLOOKUP(orders!C258,customers!$A$1:$A$1001,customers!$C$1:$C$1001,,0))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10"/>
        <v>17.46</v>
      </c>
      <c r="N258" t="str">
        <f t="shared" si="12"/>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_xlfn.XLOOKUP(orders!C259,customers!$A$1:$A$1001,customers!$B$1:$B$1001,,0)</f>
        <v>Denyse O'Calleran</v>
      </c>
      <c r="G259" s="2" t="str">
        <f>IF(_xlfn.XLOOKUP(orders!C259,customers!$A$1:$A$1001,customers!$C$1:$C$1001,,0)=0,"",_xlfn.XLOOKUP(orders!C259,customers!$A$1:$A$1001,customers!$C$1:$C$1001,,0))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3">L259*E259</f>
        <v>27.945</v>
      </c>
      <c r="N259" t="str">
        <f t="shared" si="12"/>
        <v>Excelsa</v>
      </c>
      <c r="O259" t="str">
        <f t="shared" ref="O259:O322" si="14">IF(J259="M","Medium",IF(J259= "L", "Light",IF(J259="D", "Dark","")))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_xlfn.XLOOKUP(orders!C260,customers!$A$1:$A$1001,customers!$B$1:$B$1001,,0)</f>
        <v>Cobby Cromwell</v>
      </c>
      <c r="G260" s="2" t="str">
        <f>IF(_xlfn.XLOOKUP(orders!C260,customers!$A$1:$A$1001,customers!$C$1:$C$1001,,0)=0,"",_xlfn.XLOOKUP(orders!C260,customers!$A$1:$A$1001,customers!$C$1:$C$1001,,0))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3"/>
        <v>139.72499999999999</v>
      </c>
      <c r="N260" t="str">
        <f t="shared" si="12"/>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_xlfn.XLOOKUP(orders!C261,customers!$A$1:$A$1001,customers!$B$1:$B$1001,,0)</f>
        <v>Irv Hay</v>
      </c>
      <c r="G261" s="2" t="str">
        <f>IF(_xlfn.XLOOKUP(orders!C261,customers!$A$1:$A$1001,customers!$C$1:$C$1001,,0)=0,"",_xlfn.XLOOKUP(orders!C261,customers!$A$1:$A$1001,customers!$C$1:$C$1001,,0))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3"/>
        <v>5.97</v>
      </c>
      <c r="N261" t="str">
        <f t="shared" si="12"/>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_xlfn.XLOOKUP(orders!C262,customers!$A$1:$A$1001,customers!$B$1:$B$1001,,0)</f>
        <v>Tani Taffarello</v>
      </c>
      <c r="G262" s="2" t="str">
        <f>IF(_xlfn.XLOOKUP(orders!C262,customers!$A$1:$A$1001,customers!$C$1:$C$1001,,0)=0,"",_xlfn.XLOOKUP(orders!C262,customers!$A$1:$A$1001,customers!$C$1:$C$1001,,0))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3"/>
        <v>27.484999999999996</v>
      </c>
      <c r="N262" t="str">
        <f t="shared" si="12"/>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_xlfn.XLOOKUP(orders!C263,customers!$A$1:$A$1001,customers!$B$1:$B$1001,,0)</f>
        <v>Monique Canty</v>
      </c>
      <c r="G263" s="2" t="str">
        <f>IF(_xlfn.XLOOKUP(orders!C263,customers!$A$1:$A$1001,customers!$C$1:$C$1001,,0)=0,"",_xlfn.XLOOKUP(orders!C263,customers!$A$1:$A$1001,customers!$C$1:$C$1001,,0))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3"/>
        <v>59.75</v>
      </c>
      <c r="N263" t="str">
        <f t="shared" si="12"/>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_xlfn.XLOOKUP(orders!C264,customers!$A$1:$A$1001,customers!$B$1:$B$1001,,0)</f>
        <v>Javier Kopke</v>
      </c>
      <c r="G264" s="2" t="str">
        <f>IF(_xlfn.XLOOKUP(orders!C264,customers!$A$1:$A$1001,customers!$C$1:$C$1001,,0)=0,"",_xlfn.XLOOKUP(orders!C264,customers!$A$1:$A$1001,customers!$C$1:$C$1001,,0))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3"/>
        <v>41.25</v>
      </c>
      <c r="N264" t="str">
        <f t="shared" ref="N264:N327" si="15">IF(I264="Rob","Robusta",IF(I264="Exc","Excelsa",IF(I264="Ara","Arabica",IF(I264="Lib","Liberica"))))</f>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_xlfn.XLOOKUP(orders!C265,customers!$A$1:$A$1001,customers!$B$1:$B$1001,,0)</f>
        <v>Mar McIver</v>
      </c>
      <c r="G265" s="2" t="str">
        <f>IF(_xlfn.XLOOKUP(orders!C265,customers!$A$1:$A$1001,customers!$C$1:$C$1001,,0)=0,"",_xlfn.XLOOKUP(orders!C265,customers!$A$1:$A$1001,customers!$C$1:$C$1001,,0))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3"/>
        <v>133.85999999999999</v>
      </c>
      <c r="N265" t="str">
        <f t="shared" si="15"/>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_xlfn.XLOOKUP(orders!C266,customers!$A$1:$A$1001,customers!$B$1:$B$1001,,0)</f>
        <v>Arabella Fransewich</v>
      </c>
      <c r="G266" s="2" t="str">
        <f>IF(_xlfn.XLOOKUP(orders!C266,customers!$A$1:$A$1001,customers!$C$1:$C$1001,,0)=0,"",_xlfn.XLOOKUP(orders!C266,customers!$A$1:$A$1001,customers!$C$1:$C$1001,,0))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3"/>
        <v>59.75</v>
      </c>
      <c r="N266" t="str">
        <f t="shared" si="15"/>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_xlfn.XLOOKUP(orders!C267,customers!$A$1:$A$1001,customers!$B$1:$B$1001,,0)</f>
        <v>Violette Hellmore</v>
      </c>
      <c r="G267" s="2" t="str">
        <f>IF(_xlfn.XLOOKUP(orders!C267,customers!$A$1:$A$1001,customers!$C$1:$C$1001,,0)=0,"",_xlfn.XLOOKUP(orders!C267,customers!$A$1:$A$1001,customers!$C$1:$C$1001,,0))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3"/>
        <v>5.97</v>
      </c>
      <c r="N267" t="str">
        <f t="shared" si="15"/>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_xlfn.XLOOKUP(orders!C268,customers!$A$1:$A$1001,customers!$B$1:$B$1001,,0)</f>
        <v>Myles Seawright</v>
      </c>
      <c r="G268" s="2" t="str">
        <f>IF(_xlfn.XLOOKUP(orders!C268,customers!$A$1:$A$1001,customers!$C$1:$C$1001,,0)=0,"",_xlfn.XLOOKUP(orders!C268,customers!$A$1:$A$1001,customers!$C$1:$C$1001,,0))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3"/>
        <v>24.3</v>
      </c>
      <c r="N268" t="str">
        <f t="shared" si="15"/>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_xlfn.XLOOKUP(orders!C269,customers!$A$1:$A$1001,customers!$B$1:$B$1001,,0)</f>
        <v>Silvana Northeast</v>
      </c>
      <c r="G269" s="2" t="str">
        <f>IF(_xlfn.XLOOKUP(orders!C269,customers!$A$1:$A$1001,customers!$C$1:$C$1001,,0)=0,"",_xlfn.XLOOKUP(orders!C269,customers!$A$1:$A$1001,customers!$C$1:$C$1001,,0))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3"/>
        <v>21.87</v>
      </c>
      <c r="N269" t="str">
        <f t="shared" si="15"/>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_xlfn.XLOOKUP(orders!C270,customers!$A$1:$A$1001,customers!$B$1:$B$1001,,0)</f>
        <v>Anselma Attwater</v>
      </c>
      <c r="G270" s="2" t="str">
        <f>IF(_xlfn.XLOOKUP(orders!C270,customers!$A$1:$A$1001,customers!$C$1:$C$1001,,0)=0,"",_xlfn.XLOOKUP(orders!C270,customers!$A$1:$A$1001,customers!$C$1:$C$1001,,0))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3"/>
        <v>19.899999999999999</v>
      </c>
      <c r="N270" t="str">
        <f t="shared" si="15"/>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_xlfn.XLOOKUP(orders!C271,customers!$A$1:$A$1001,customers!$B$1:$B$1001,,0)</f>
        <v>Monica Fearon</v>
      </c>
      <c r="G271" s="2" t="str">
        <f>IF(_xlfn.XLOOKUP(orders!C271,customers!$A$1:$A$1001,customers!$C$1:$C$1001,,0)=0,"",_xlfn.XLOOKUP(orders!C271,customers!$A$1:$A$1001,customers!$C$1:$C$1001,,0))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3"/>
        <v>5.97</v>
      </c>
      <c r="N271" t="str">
        <f t="shared" si="15"/>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_xlfn.XLOOKUP(orders!C272,customers!$A$1:$A$1001,customers!$B$1:$B$1001,,0)</f>
        <v>Barney Chisnell</v>
      </c>
      <c r="G272" s="2" t="str">
        <f>IF(_xlfn.XLOOKUP(orders!C272,customers!$A$1:$A$1001,customers!$C$1:$C$1001,,0)=0,"",_xlfn.XLOOKUP(orders!C272,customers!$A$1:$A$1001,customers!$C$1:$C$1001,,0))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3"/>
        <v>7.29</v>
      </c>
      <c r="N272" t="str">
        <f t="shared" si="15"/>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_xlfn.XLOOKUP(orders!C273,customers!$A$1:$A$1001,customers!$B$1:$B$1001,,0)</f>
        <v>Jasper Sisneros</v>
      </c>
      <c r="G273" s="2" t="str">
        <f>IF(_xlfn.XLOOKUP(orders!C273,customers!$A$1:$A$1001,customers!$C$1:$C$1001,,0)=0,"",_xlfn.XLOOKUP(orders!C273,customers!$A$1:$A$1001,customers!$C$1:$C$1001,,0))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3"/>
        <v>11.94</v>
      </c>
      <c r="N273" t="str">
        <f t="shared" si="15"/>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_xlfn.XLOOKUP(orders!C274,customers!$A$1:$A$1001,customers!$B$1:$B$1001,,0)</f>
        <v>Zachariah Carlson</v>
      </c>
      <c r="G274" s="2" t="str">
        <f>IF(_xlfn.XLOOKUP(orders!C274,customers!$A$1:$A$1001,customers!$C$1:$C$1001,,0)=0,"",_xlfn.XLOOKUP(orders!C274,customers!$A$1:$A$1001,customers!$C$1:$C$1001,,0))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3"/>
        <v>71.699999999999989</v>
      </c>
      <c r="N274" t="str">
        <f t="shared" si="15"/>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_xlfn.XLOOKUP(orders!C275,customers!$A$1:$A$1001,customers!$B$1:$B$1001,,0)</f>
        <v>Warner Maddox</v>
      </c>
      <c r="G275" s="2" t="str">
        <f>IF(_xlfn.XLOOKUP(orders!C275,customers!$A$1:$A$1001,customers!$C$1:$C$1001,,0)=0,"",_xlfn.XLOOKUP(orders!C275,customers!$A$1:$A$1001,customers!$C$1:$C$1001,,0))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3"/>
        <v>7.77</v>
      </c>
      <c r="N275" t="str">
        <f t="shared" si="15"/>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_xlfn.XLOOKUP(orders!C276,customers!$A$1:$A$1001,customers!$B$1:$B$1001,,0)</f>
        <v>Donnie Hedlestone</v>
      </c>
      <c r="G276" s="2" t="str">
        <f>IF(_xlfn.XLOOKUP(orders!C276,customers!$A$1:$A$1001,customers!$C$1:$C$1001,,0)=0,"",_xlfn.XLOOKUP(orders!C276,customers!$A$1:$A$1001,customers!$C$1:$C$1001,,0))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3"/>
        <v>25.874999999999996</v>
      </c>
      <c r="N276" t="str">
        <f t="shared" si="15"/>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_xlfn.XLOOKUP(orders!C277,customers!$A$1:$A$1001,customers!$B$1:$B$1001,,0)</f>
        <v>Teddi Crowthe</v>
      </c>
      <c r="G277" s="2" t="str">
        <f>IF(_xlfn.XLOOKUP(orders!C277,customers!$A$1:$A$1001,customers!$C$1:$C$1001,,0)=0,"",_xlfn.XLOOKUP(orders!C277,customers!$A$1:$A$1001,customers!$C$1:$C$1001,,0))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3"/>
        <v>204.92999999999995</v>
      </c>
      <c r="N277" t="str">
        <f t="shared" si="15"/>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_xlfn.XLOOKUP(orders!C278,customers!$A$1:$A$1001,customers!$B$1:$B$1001,,0)</f>
        <v>Dorelia Bury</v>
      </c>
      <c r="G278" s="2" t="str">
        <f>IF(_xlfn.XLOOKUP(orders!C278,customers!$A$1:$A$1001,customers!$C$1:$C$1001,,0)=0,"",_xlfn.XLOOKUP(orders!C278,customers!$A$1:$A$1001,customers!$C$1:$C$1001,,0))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3"/>
        <v>109.93999999999998</v>
      </c>
      <c r="N278" t="str">
        <f t="shared" si="15"/>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_xlfn.XLOOKUP(orders!C279,customers!$A$1:$A$1001,customers!$B$1:$B$1001,,0)</f>
        <v>Gussy Broadbear</v>
      </c>
      <c r="G279" s="2" t="str">
        <f>IF(_xlfn.XLOOKUP(orders!C279,customers!$A$1:$A$1001,customers!$C$1:$C$1001,,0)=0,"",_xlfn.XLOOKUP(orders!C279,customers!$A$1:$A$1001,customers!$C$1:$C$1001,,0))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3"/>
        <v>89.1</v>
      </c>
      <c r="N279" t="str">
        <f t="shared" si="15"/>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_xlfn.XLOOKUP(orders!C280,customers!$A$1:$A$1001,customers!$B$1:$B$1001,,0)</f>
        <v>Emlynne Palfrey</v>
      </c>
      <c r="G280" s="2" t="str">
        <f>IF(_xlfn.XLOOKUP(orders!C280,customers!$A$1:$A$1001,customers!$C$1:$C$1001,,0)=0,"",_xlfn.XLOOKUP(orders!C280,customers!$A$1:$A$1001,customers!$C$1:$C$1001,,0))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3"/>
        <v>7.77</v>
      </c>
      <c r="N280" t="str">
        <f t="shared" si="15"/>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_xlfn.XLOOKUP(orders!C281,customers!$A$1:$A$1001,customers!$B$1:$B$1001,,0)</f>
        <v>Parsifal Metrick</v>
      </c>
      <c r="G281" s="2" t="str">
        <f>IF(_xlfn.XLOOKUP(orders!C281,customers!$A$1:$A$1001,customers!$C$1:$C$1001,,0)=0,"",_xlfn.XLOOKUP(orders!C281,customers!$A$1:$A$1001,customers!$C$1:$C$1001,,0))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3"/>
        <v>33.464999999999996</v>
      </c>
      <c r="N281" t="str">
        <f t="shared" si="15"/>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_xlfn.XLOOKUP(orders!C282,customers!$A$1:$A$1001,customers!$B$1:$B$1001,,0)</f>
        <v>Christopher Grieveson</v>
      </c>
      <c r="G282" s="2" t="str">
        <f>IF(_xlfn.XLOOKUP(orders!C282,customers!$A$1:$A$1001,customers!$C$1:$C$1001,,0)=0,"",_xlfn.XLOOKUP(orders!C282,customers!$A$1:$A$1001,customers!$C$1:$C$1001,,0))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3"/>
        <v>41.25</v>
      </c>
      <c r="N282" t="str">
        <f t="shared" si="15"/>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_xlfn.XLOOKUP(orders!C283,customers!$A$1:$A$1001,customers!$B$1:$B$1001,,0)</f>
        <v>Karlan Karby</v>
      </c>
      <c r="G283" s="2" t="str">
        <f>IF(_xlfn.XLOOKUP(orders!C283,customers!$A$1:$A$1001,customers!$C$1:$C$1001,,0)=0,"",_xlfn.XLOOKUP(orders!C283,customers!$A$1:$A$1001,customers!$C$1:$C$1001,,0))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3"/>
        <v>59.4</v>
      </c>
      <c r="N283" t="str">
        <f t="shared" si="15"/>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_xlfn.XLOOKUP(orders!C284,customers!$A$1:$A$1001,customers!$B$1:$B$1001,,0)</f>
        <v>Flory Crumpe</v>
      </c>
      <c r="G284" s="2" t="str">
        <f>IF(_xlfn.XLOOKUP(orders!C284,customers!$A$1:$A$1001,customers!$C$1:$C$1001,,0)=0,"",_xlfn.XLOOKUP(orders!C284,customers!$A$1:$A$1001,customers!$C$1:$C$1001,,0))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3"/>
        <v>7.77</v>
      </c>
      <c r="N284" t="str">
        <f t="shared" si="15"/>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_xlfn.XLOOKUP(orders!C285,customers!$A$1:$A$1001,customers!$B$1:$B$1001,,0)</f>
        <v>Amity Chatto</v>
      </c>
      <c r="G285" s="2" t="str">
        <f>IF(_xlfn.XLOOKUP(orders!C285,customers!$A$1:$A$1001,customers!$C$1:$C$1001,,0)=0,"",_xlfn.XLOOKUP(orders!C285,customers!$A$1:$A$1001,customers!$C$1:$C$1001,,0))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3"/>
        <v>5.3699999999999992</v>
      </c>
      <c r="N285" t="str">
        <f t="shared" si="15"/>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_xlfn.XLOOKUP(orders!C286,customers!$A$1:$A$1001,customers!$B$1:$B$1001,,0)</f>
        <v>Nanine McCarthy</v>
      </c>
      <c r="G286" s="2" t="str">
        <f>IF(_xlfn.XLOOKUP(orders!C286,customers!$A$1:$A$1001,customers!$C$1:$C$1001,,0)=0,"",_xlfn.XLOOKUP(orders!C286,customers!$A$1:$A$1001,customers!$C$1:$C$1001,,0))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3"/>
        <v>94.874999999999986</v>
      </c>
      <c r="N286" t="str">
        <f t="shared" si="15"/>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_xlfn.XLOOKUP(orders!C287,customers!$A$1:$A$1001,customers!$B$1:$B$1001,,0)</f>
        <v>Lyndsey Megany</v>
      </c>
      <c r="G287" s="2" t="str">
        <f>IF(_xlfn.XLOOKUP(orders!C287,customers!$A$1:$A$1001,customers!$C$1:$C$1001,,0)=0,"",_xlfn.XLOOKUP(orders!C287,customers!$A$1:$A$1001,customers!$C$1:$C$1001,,0))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3"/>
        <v>36.454999999999998</v>
      </c>
      <c r="N287" t="str">
        <f t="shared" si="15"/>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_xlfn.XLOOKUP(orders!C288,customers!$A$1:$A$1001,customers!$B$1:$B$1001,,0)</f>
        <v>Byram Mergue</v>
      </c>
      <c r="G288" s="2" t="str">
        <f>IF(_xlfn.XLOOKUP(orders!C288,customers!$A$1:$A$1001,customers!$C$1:$C$1001,,0)=0,"",_xlfn.XLOOKUP(orders!C288,customers!$A$1:$A$1001,customers!$C$1:$C$1001,,0))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3"/>
        <v>13.5</v>
      </c>
      <c r="N288" t="str">
        <f t="shared" si="15"/>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_xlfn.XLOOKUP(orders!C289,customers!$A$1:$A$1001,customers!$B$1:$B$1001,,0)</f>
        <v>Kerr Patise</v>
      </c>
      <c r="G289" s="2" t="str">
        <f>IF(_xlfn.XLOOKUP(orders!C289,customers!$A$1:$A$1001,customers!$C$1:$C$1001,,0)=0,"",_xlfn.XLOOKUP(orders!C289,customers!$A$1:$A$1001,customers!$C$1:$C$1001,,0))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3"/>
        <v>14.339999999999998</v>
      </c>
      <c r="N289" t="str">
        <f t="shared" si="15"/>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_xlfn.XLOOKUP(orders!C290,customers!$A$1:$A$1001,customers!$B$1:$B$1001,,0)</f>
        <v>Mathew Goulter</v>
      </c>
      <c r="G290" s="2" t="str">
        <f>IF(_xlfn.XLOOKUP(orders!C290,customers!$A$1:$A$1001,customers!$C$1:$C$1001,,0)=0,"",_xlfn.XLOOKUP(orders!C290,customers!$A$1:$A$1001,customers!$C$1:$C$1001,,0))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3"/>
        <v>8.25</v>
      </c>
      <c r="N290" t="str">
        <f t="shared" si="15"/>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_xlfn.XLOOKUP(orders!C291,customers!$A$1:$A$1001,customers!$B$1:$B$1001,,0)</f>
        <v>Marris Grcic</v>
      </c>
      <c r="G291" s="2" t="str">
        <f>IF(_xlfn.XLOOKUP(orders!C291,customers!$A$1:$A$1001,customers!$C$1:$C$1001,,0)=0,"",_xlfn.XLOOKUP(orders!C291,customers!$A$1:$A$1001,customers!$C$1:$C$1001,,0))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3"/>
        <v>13.424999999999997</v>
      </c>
      <c r="N291" t="str">
        <f t="shared" si="15"/>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_xlfn.XLOOKUP(orders!C292,customers!$A$1:$A$1001,customers!$B$1:$B$1001,,0)</f>
        <v>Domeniga Duke</v>
      </c>
      <c r="G292" s="2" t="str">
        <f>IF(_xlfn.XLOOKUP(orders!C292,customers!$A$1:$A$1001,customers!$C$1:$C$1001,,0)=0,"",_xlfn.XLOOKUP(orders!C292,customers!$A$1:$A$1001,customers!$C$1:$C$1001,,0))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3"/>
        <v>49.75</v>
      </c>
      <c r="N292" t="str">
        <f t="shared" si="15"/>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_xlfn.XLOOKUP(orders!C293,customers!$A$1:$A$1001,customers!$B$1:$B$1001,,0)</f>
        <v>Violante Skouling</v>
      </c>
      <c r="G293" s="2" t="str">
        <f>IF(_xlfn.XLOOKUP(orders!C293,customers!$A$1:$A$1001,customers!$C$1:$C$1001,,0)=0,"",_xlfn.XLOOKUP(orders!C293,customers!$A$1:$A$1001,customers!$C$1:$C$1001,,0))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3"/>
        <v>16.5</v>
      </c>
      <c r="N293" t="str">
        <f t="shared" si="15"/>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_xlfn.XLOOKUP(orders!C294,customers!$A$1:$A$1001,customers!$B$1:$B$1001,,0)</f>
        <v>Isidore Hussey</v>
      </c>
      <c r="G294" s="2" t="str">
        <f>IF(_xlfn.XLOOKUP(orders!C294,customers!$A$1:$A$1001,customers!$C$1:$C$1001,,0)=0,"",_xlfn.XLOOKUP(orders!C294,customers!$A$1:$A$1001,customers!$C$1:$C$1001,,0))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3"/>
        <v>17.91</v>
      </c>
      <c r="N294" t="str">
        <f t="shared" si="15"/>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_xlfn.XLOOKUP(orders!C295,customers!$A$1:$A$1001,customers!$B$1:$B$1001,,0)</f>
        <v>Cassie Pinkerton</v>
      </c>
      <c r="G295" s="2" t="str">
        <f>IF(_xlfn.XLOOKUP(orders!C295,customers!$A$1:$A$1001,customers!$C$1:$C$1001,,0)=0,"",_xlfn.XLOOKUP(orders!C295,customers!$A$1:$A$1001,customers!$C$1:$C$1001,,0))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3"/>
        <v>29.849999999999998</v>
      </c>
      <c r="N295" t="str">
        <f t="shared" si="15"/>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_xlfn.XLOOKUP(orders!C296,customers!$A$1:$A$1001,customers!$B$1:$B$1001,,0)</f>
        <v>Micki Fero</v>
      </c>
      <c r="G296" s="2" t="str">
        <f>IF(_xlfn.XLOOKUP(orders!C296,customers!$A$1:$A$1001,customers!$C$1:$C$1001,,0)=0,"",_xlfn.XLOOKUP(orders!C296,customers!$A$1:$A$1001,customers!$C$1:$C$1001,,0))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3"/>
        <v>44.55</v>
      </c>
      <c r="N296" t="str">
        <f t="shared" si="15"/>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_xlfn.XLOOKUP(orders!C297,customers!$A$1:$A$1001,customers!$B$1:$B$1001,,0)</f>
        <v>Cybill Graddell</v>
      </c>
      <c r="G297" s="2" t="str">
        <f>IF(_xlfn.XLOOKUP(orders!C297,customers!$A$1:$A$1001,customers!$C$1:$C$1001,,0)=0,"",_xlfn.XLOOKUP(orders!C297,customers!$A$1:$A$1001,customers!$C$1:$C$1001,,0))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3"/>
        <v>27.5</v>
      </c>
      <c r="N297" t="str">
        <f t="shared" si="15"/>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_xlfn.XLOOKUP(orders!C298,customers!$A$1:$A$1001,customers!$B$1:$B$1001,,0)</f>
        <v>Dorian Vizor</v>
      </c>
      <c r="G298" s="2" t="str">
        <f>IF(_xlfn.XLOOKUP(orders!C298,customers!$A$1:$A$1001,customers!$C$1:$C$1001,,0)=0,"",_xlfn.XLOOKUP(orders!C298,customers!$A$1:$A$1001,customers!$C$1:$C$1001,,0))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3"/>
        <v>35.82</v>
      </c>
      <c r="N298" t="str">
        <f t="shared" si="15"/>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_xlfn.XLOOKUP(orders!C299,customers!$A$1:$A$1001,customers!$B$1:$B$1001,,0)</f>
        <v>Eddi Sedgebeer</v>
      </c>
      <c r="G299" s="2" t="str">
        <f>IF(_xlfn.XLOOKUP(orders!C299,customers!$A$1:$A$1001,customers!$C$1:$C$1001,,0)=0,"",_xlfn.XLOOKUP(orders!C299,customers!$A$1:$A$1001,customers!$C$1:$C$1001,,0))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3"/>
        <v>16.11</v>
      </c>
      <c r="N299" t="str">
        <f t="shared" si="15"/>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_xlfn.XLOOKUP(orders!C300,customers!$A$1:$A$1001,customers!$B$1:$B$1001,,0)</f>
        <v>Ken Lestrange</v>
      </c>
      <c r="G300" s="2" t="str">
        <f>IF(_xlfn.XLOOKUP(orders!C300,customers!$A$1:$A$1001,customers!$C$1:$C$1001,,0)=0,"",_xlfn.XLOOKUP(orders!C300,customers!$A$1:$A$1001,customers!$C$1:$C$1001,,0))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3"/>
        <v>26.73</v>
      </c>
      <c r="N300" t="str">
        <f t="shared" si="15"/>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_xlfn.XLOOKUP(orders!C301,customers!$A$1:$A$1001,customers!$B$1:$B$1001,,0)</f>
        <v>Lacee Tanti</v>
      </c>
      <c r="G301" s="2" t="str">
        <f>IF(_xlfn.XLOOKUP(orders!C301,customers!$A$1:$A$1001,customers!$C$1:$C$1001,,0)=0,"",_xlfn.XLOOKUP(orders!C301,customers!$A$1:$A$1001,customers!$C$1:$C$1001,,0))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3"/>
        <v>204.92999999999995</v>
      </c>
      <c r="N301" t="str">
        <f t="shared" si="15"/>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_xlfn.XLOOKUP(orders!C302,customers!$A$1:$A$1001,customers!$B$1:$B$1001,,0)</f>
        <v>Arel De Lasci</v>
      </c>
      <c r="G302" s="2" t="str">
        <f>IF(_xlfn.XLOOKUP(orders!C302,customers!$A$1:$A$1001,customers!$C$1:$C$1001,,0)=0,"",_xlfn.XLOOKUP(orders!C302,customers!$A$1:$A$1001,customers!$C$1:$C$1001,,0))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3"/>
        <v>38.849999999999994</v>
      </c>
      <c r="N302" t="str">
        <f t="shared" si="15"/>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_xlfn.XLOOKUP(orders!C303,customers!$A$1:$A$1001,customers!$B$1:$B$1001,,0)</f>
        <v>Trescha Jedrachowicz</v>
      </c>
      <c r="G303" s="2" t="str">
        <f>IF(_xlfn.XLOOKUP(orders!C303,customers!$A$1:$A$1001,customers!$C$1:$C$1001,,0)=0,"",_xlfn.XLOOKUP(orders!C303,customers!$A$1:$A$1001,customers!$C$1:$C$1001,,0))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3"/>
        <v>15.54</v>
      </c>
      <c r="N303" t="str">
        <f t="shared" si="15"/>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_xlfn.XLOOKUP(orders!C304,customers!$A$1:$A$1001,customers!$B$1:$B$1001,,0)</f>
        <v>Perkin Stonner</v>
      </c>
      <c r="G304" s="2" t="str">
        <f>IF(_xlfn.XLOOKUP(orders!C304,customers!$A$1:$A$1001,customers!$C$1:$C$1001,,0)=0,"",_xlfn.XLOOKUP(orders!C304,customers!$A$1:$A$1001,customers!$C$1:$C$1001,,0))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3"/>
        <v>6.75</v>
      </c>
      <c r="N304" t="str">
        <f t="shared" si="15"/>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_xlfn.XLOOKUP(orders!C305,customers!$A$1:$A$1001,customers!$B$1:$B$1001,,0)</f>
        <v>Darrin Tingly</v>
      </c>
      <c r="G305" s="2" t="str">
        <f>IF(_xlfn.XLOOKUP(orders!C305,customers!$A$1:$A$1001,customers!$C$1:$C$1001,,0)=0,"",_xlfn.XLOOKUP(orders!C305,customers!$A$1:$A$1001,customers!$C$1:$C$1001,,0))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3"/>
        <v>111.78</v>
      </c>
      <c r="N305" t="str">
        <f t="shared" si="15"/>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_xlfn.XLOOKUP(orders!C306,customers!$A$1:$A$1001,customers!$B$1:$B$1001,,0)</f>
        <v>Claudetta Rushe</v>
      </c>
      <c r="G306" s="2" t="str">
        <f>IF(_xlfn.XLOOKUP(orders!C306,customers!$A$1:$A$1001,customers!$C$1:$C$1001,,0)=0,"",_xlfn.XLOOKUP(orders!C306,customers!$A$1:$A$1001,customers!$C$1:$C$1001,,0))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3"/>
        <v>3.8849999999999998</v>
      </c>
      <c r="N306" t="str">
        <f t="shared" si="15"/>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_xlfn.XLOOKUP(orders!C307,customers!$A$1:$A$1001,customers!$B$1:$B$1001,,0)</f>
        <v>Benn Checci</v>
      </c>
      <c r="G307" s="2" t="str">
        <f>IF(_xlfn.XLOOKUP(orders!C307,customers!$A$1:$A$1001,customers!$C$1:$C$1001,,0)=0,"",_xlfn.XLOOKUP(orders!C307,customers!$A$1:$A$1001,customers!$C$1:$C$1001,,0))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3"/>
        <v>21.825000000000003</v>
      </c>
      <c r="N307" t="str">
        <f t="shared" si="15"/>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_xlfn.XLOOKUP(orders!C308,customers!$A$1:$A$1001,customers!$B$1:$B$1001,,0)</f>
        <v>Janifer Bagot</v>
      </c>
      <c r="G308" s="2" t="str">
        <f>IF(_xlfn.XLOOKUP(orders!C308,customers!$A$1:$A$1001,customers!$C$1:$C$1001,,0)=0,"",_xlfn.XLOOKUP(orders!C308,customers!$A$1:$A$1001,customers!$C$1:$C$1001,,0))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3"/>
        <v>14.924999999999999</v>
      </c>
      <c r="N308" t="str">
        <f t="shared" si="15"/>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_xlfn.XLOOKUP(orders!C309,customers!$A$1:$A$1001,customers!$B$1:$B$1001,,0)</f>
        <v>Ermin Beeble</v>
      </c>
      <c r="G309" s="2" t="str">
        <f>IF(_xlfn.XLOOKUP(orders!C309,customers!$A$1:$A$1001,customers!$C$1:$C$1001,,0)=0,"",_xlfn.XLOOKUP(orders!C309,customers!$A$1:$A$1001,customers!$C$1:$C$1001,,0))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3"/>
        <v>33.75</v>
      </c>
      <c r="N309" t="str">
        <f t="shared" si="15"/>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_xlfn.XLOOKUP(orders!C310,customers!$A$1:$A$1001,customers!$B$1:$B$1001,,0)</f>
        <v>Cos Fluin</v>
      </c>
      <c r="G310" s="2" t="str">
        <f>IF(_xlfn.XLOOKUP(orders!C310,customers!$A$1:$A$1001,customers!$C$1:$C$1001,,0)=0,"",_xlfn.XLOOKUP(orders!C310,customers!$A$1:$A$1001,customers!$C$1:$C$1001,,0))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3"/>
        <v>33.75</v>
      </c>
      <c r="N310" t="str">
        <f t="shared" si="15"/>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_xlfn.XLOOKUP(orders!C311,customers!$A$1:$A$1001,customers!$B$1:$B$1001,,0)</f>
        <v>Eveleen Bletsor</v>
      </c>
      <c r="G311" s="2" t="str">
        <f>IF(_xlfn.XLOOKUP(orders!C311,customers!$A$1:$A$1001,customers!$C$1:$C$1001,,0)=0,"",_xlfn.XLOOKUP(orders!C311,customers!$A$1:$A$1001,customers!$C$1:$C$1001,,0))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3"/>
        <v>26.19</v>
      </c>
      <c r="N311" t="str">
        <f t="shared" si="15"/>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_xlfn.XLOOKUP(orders!C312,customers!$A$1:$A$1001,customers!$B$1:$B$1001,,0)</f>
        <v>Paola Brydell</v>
      </c>
      <c r="G312" s="2" t="str">
        <f>IF(_xlfn.XLOOKUP(orders!C312,customers!$A$1:$A$1001,customers!$C$1:$C$1001,,0)=0,"",_xlfn.XLOOKUP(orders!C312,customers!$A$1:$A$1001,customers!$C$1:$C$1001,,0))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3"/>
        <v>14.85</v>
      </c>
      <c r="N312" t="str">
        <f t="shared" si="15"/>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_xlfn.XLOOKUP(orders!C313,customers!$A$1:$A$1001,customers!$B$1:$B$1001,,0)</f>
        <v>Claudetta Rushe</v>
      </c>
      <c r="G313" s="2" t="str">
        <f>IF(_xlfn.XLOOKUP(orders!C313,customers!$A$1:$A$1001,customers!$C$1:$C$1001,,0)=0,"",_xlfn.XLOOKUP(orders!C313,customers!$A$1:$A$1001,customers!$C$1:$C$1001,,0))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3"/>
        <v>189.74999999999997</v>
      </c>
      <c r="N313" t="str">
        <f t="shared" si="15"/>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_xlfn.XLOOKUP(orders!C314,customers!$A$1:$A$1001,customers!$B$1:$B$1001,,0)</f>
        <v>Natka Leethem</v>
      </c>
      <c r="G314" s="2" t="str">
        <f>IF(_xlfn.XLOOKUP(orders!C314,customers!$A$1:$A$1001,customers!$C$1:$C$1001,,0)=0,"",_xlfn.XLOOKUP(orders!C314,customers!$A$1:$A$1001,customers!$C$1:$C$1001,,0))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3"/>
        <v>5.97</v>
      </c>
      <c r="N314" t="str">
        <f t="shared" si="15"/>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_xlfn.XLOOKUP(orders!C315,customers!$A$1:$A$1001,customers!$B$1:$B$1001,,0)</f>
        <v>Ailene Nesfield</v>
      </c>
      <c r="G315" s="2" t="str">
        <f>IF(_xlfn.XLOOKUP(orders!C315,customers!$A$1:$A$1001,customers!$C$1:$C$1001,,0)=0,"",_xlfn.XLOOKUP(orders!C315,customers!$A$1:$A$1001,customers!$C$1:$C$1001,,0))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3"/>
        <v>29.849999999999998</v>
      </c>
      <c r="N315" t="str">
        <f t="shared" si="15"/>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_xlfn.XLOOKUP(orders!C316,customers!$A$1:$A$1001,customers!$B$1:$B$1001,,0)</f>
        <v>Stacy Pickworth</v>
      </c>
      <c r="G316" s="2" t="str">
        <f>IF(_xlfn.XLOOKUP(orders!C316,customers!$A$1:$A$1001,customers!$C$1:$C$1001,,0)=0,"",_xlfn.XLOOKUP(orders!C316,customers!$A$1:$A$1001,customers!$C$1:$C$1001,,0))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3"/>
        <v>44.75</v>
      </c>
      <c r="N316" t="str">
        <f t="shared" si="15"/>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_xlfn.XLOOKUP(orders!C317,customers!$A$1:$A$1001,customers!$B$1:$B$1001,,0)</f>
        <v>Melli Brockway</v>
      </c>
      <c r="G317" s="2" t="str">
        <f>IF(_xlfn.XLOOKUP(orders!C317,customers!$A$1:$A$1001,customers!$C$1:$C$1001,,0)=0,"",_xlfn.XLOOKUP(orders!C317,customers!$A$1:$A$1001,customers!$C$1:$C$1001,,0))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3"/>
        <v>34.154999999999994</v>
      </c>
      <c r="N317" t="str">
        <f t="shared" si="15"/>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_xlfn.XLOOKUP(orders!C318,customers!$A$1:$A$1001,customers!$B$1:$B$1001,,0)</f>
        <v>Nanny Lush</v>
      </c>
      <c r="G318" s="2" t="str">
        <f>IF(_xlfn.XLOOKUP(orders!C318,customers!$A$1:$A$1001,customers!$C$1:$C$1001,,0)=0,"",_xlfn.XLOOKUP(orders!C318,customers!$A$1:$A$1001,customers!$C$1:$C$1001,,0))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3"/>
        <v>204.92999999999995</v>
      </c>
      <c r="N318" t="str">
        <f t="shared" si="15"/>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_xlfn.XLOOKUP(orders!C319,customers!$A$1:$A$1001,customers!$B$1:$B$1001,,0)</f>
        <v>Selma McMillian</v>
      </c>
      <c r="G319" s="2" t="str">
        <f>IF(_xlfn.XLOOKUP(orders!C319,customers!$A$1:$A$1001,customers!$C$1:$C$1001,,0)=0,"",_xlfn.XLOOKUP(orders!C319,customers!$A$1:$A$1001,customers!$C$1:$C$1001,,0))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3"/>
        <v>21.87</v>
      </c>
      <c r="N319" t="str">
        <f t="shared" si="15"/>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_xlfn.XLOOKUP(orders!C320,customers!$A$1:$A$1001,customers!$B$1:$B$1001,,0)</f>
        <v>Tess Bennison</v>
      </c>
      <c r="G320" s="2" t="str">
        <f>IF(_xlfn.XLOOKUP(orders!C320,customers!$A$1:$A$1001,customers!$C$1:$C$1001,,0)=0,"",_xlfn.XLOOKUP(orders!C320,customers!$A$1:$A$1001,customers!$C$1:$C$1001,,0))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3"/>
        <v>51.749999999999993</v>
      </c>
      <c r="N320" t="str">
        <f t="shared" si="15"/>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_xlfn.XLOOKUP(orders!C321,customers!$A$1:$A$1001,customers!$B$1:$B$1001,,0)</f>
        <v>Gabie Tweed</v>
      </c>
      <c r="G321" s="2" t="str">
        <f>IF(_xlfn.XLOOKUP(orders!C321,customers!$A$1:$A$1001,customers!$C$1:$C$1001,,0)=0,"",_xlfn.XLOOKUP(orders!C321,customers!$A$1:$A$1001,customers!$C$1:$C$1001,,0))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3"/>
        <v>8.25</v>
      </c>
      <c r="N321" t="str">
        <f t="shared" si="15"/>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_xlfn.XLOOKUP(orders!C322,customers!$A$1:$A$1001,customers!$B$1:$B$1001,,0)</f>
        <v>Gabie Tweed</v>
      </c>
      <c r="G322" s="2" t="str">
        <f>IF(_xlfn.XLOOKUP(orders!C322,customers!$A$1:$A$1001,customers!$C$1:$C$1001,,0)=0,"",_xlfn.XLOOKUP(orders!C322,customers!$A$1:$A$1001,customers!$C$1:$C$1001,,0))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3"/>
        <v>19.424999999999997</v>
      </c>
      <c r="N322" t="str">
        <f t="shared" si="15"/>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_xlfn.XLOOKUP(orders!C323,customers!$A$1:$A$1001,customers!$B$1:$B$1001,,0)</f>
        <v>Gaile Goggin</v>
      </c>
      <c r="G323" s="2" t="str">
        <f>IF(_xlfn.XLOOKUP(orders!C323,customers!$A$1:$A$1001,customers!$C$1:$C$1001,,0)=0,"",_xlfn.XLOOKUP(orders!C323,customers!$A$1:$A$1001,customers!$C$1:$C$1001,,0))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6">L323*E323</f>
        <v>20.25</v>
      </c>
      <c r="N323" t="str">
        <f t="shared" si="15"/>
        <v>Arabica</v>
      </c>
      <c r="O323" t="str">
        <f t="shared" ref="O323:O386" si="17">IF(J323="M","Medium",IF(J323= "L", "Light",IF(J323="D", "Dark","")))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_xlfn.XLOOKUP(orders!C324,customers!$A$1:$A$1001,customers!$B$1:$B$1001,,0)</f>
        <v>Skylar Jeyness</v>
      </c>
      <c r="G324" s="2" t="str">
        <f>IF(_xlfn.XLOOKUP(orders!C324,customers!$A$1:$A$1001,customers!$C$1:$C$1001,,0)=0,"",_xlfn.XLOOKUP(orders!C324,customers!$A$1:$A$1001,customers!$C$1:$C$1001,,0))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6"/>
        <v>23.31</v>
      </c>
      <c r="N324" t="str">
        <f t="shared" si="15"/>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_xlfn.XLOOKUP(orders!C325,customers!$A$1:$A$1001,customers!$B$1:$B$1001,,0)</f>
        <v>Donica Bonhome</v>
      </c>
      <c r="G325" s="2" t="str">
        <f>IF(_xlfn.XLOOKUP(orders!C325,customers!$A$1:$A$1001,customers!$C$1:$C$1001,,0)=0,"",_xlfn.XLOOKUP(orders!C325,customers!$A$1:$A$1001,customers!$C$1:$C$1001,,0))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6"/>
        <v>18.225000000000001</v>
      </c>
      <c r="N325" t="str">
        <f t="shared" si="15"/>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_xlfn.XLOOKUP(orders!C326,customers!$A$1:$A$1001,customers!$B$1:$B$1001,,0)</f>
        <v>Diena Peetermann</v>
      </c>
      <c r="G326" s="2" t="str">
        <f>IF(_xlfn.XLOOKUP(orders!C326,customers!$A$1:$A$1001,customers!$C$1:$C$1001,,0)=0,"",_xlfn.XLOOKUP(orders!C326,customers!$A$1:$A$1001,customers!$C$1:$C$1001,,0))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6"/>
        <v>13.75</v>
      </c>
      <c r="N326" t="str">
        <f t="shared" si="15"/>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_xlfn.XLOOKUP(orders!C327,customers!$A$1:$A$1001,customers!$B$1:$B$1001,,0)</f>
        <v>Trina Le Sarr</v>
      </c>
      <c r="G327" s="2" t="str">
        <f>IF(_xlfn.XLOOKUP(orders!C327,customers!$A$1:$A$1001,customers!$C$1:$C$1001,,0)=0,"",_xlfn.XLOOKUP(orders!C327,customers!$A$1:$A$1001,customers!$C$1:$C$1001,,0))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6"/>
        <v>29.784999999999997</v>
      </c>
      <c r="N327" t="str">
        <f t="shared" si="15"/>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_xlfn.XLOOKUP(orders!C328,customers!$A$1:$A$1001,customers!$B$1:$B$1001,,0)</f>
        <v>Flynn Antony</v>
      </c>
      <c r="G328" s="2" t="str">
        <f>IF(_xlfn.XLOOKUP(orders!C328,customers!$A$1:$A$1001,customers!$C$1:$C$1001,,0)=0,"",_xlfn.XLOOKUP(orders!C328,customers!$A$1:$A$1001,customers!$C$1:$C$1001,,0))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6"/>
        <v>44.75</v>
      </c>
      <c r="N328" t="str">
        <f t="shared" ref="N328:N391" si="18">IF(I328="Rob","Robusta",IF(I328="Exc","Excelsa",IF(I328="Ara","Arabica",IF(I328="Lib","Liberica"))))</f>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_xlfn.XLOOKUP(orders!C329,customers!$A$1:$A$1001,customers!$B$1:$B$1001,,0)</f>
        <v>Baudoin Alldridge</v>
      </c>
      <c r="G329" s="2" t="str">
        <f>IF(_xlfn.XLOOKUP(orders!C329,customers!$A$1:$A$1001,customers!$C$1:$C$1001,,0)=0,"",_xlfn.XLOOKUP(orders!C329,customers!$A$1:$A$1001,customers!$C$1:$C$1001,,0))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6"/>
        <v>44.75</v>
      </c>
      <c r="N329" t="str">
        <f t="shared" si="18"/>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_xlfn.XLOOKUP(orders!C330,customers!$A$1:$A$1001,customers!$B$1:$B$1001,,0)</f>
        <v>Homer Dulany</v>
      </c>
      <c r="G330" s="2" t="str">
        <f>IF(_xlfn.XLOOKUP(orders!C330,customers!$A$1:$A$1001,customers!$C$1:$C$1001,,0)=0,"",_xlfn.XLOOKUP(orders!C330,customers!$A$1:$A$1001,customers!$C$1:$C$1001,,0))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6"/>
        <v>38.04</v>
      </c>
      <c r="N330" t="str">
        <f t="shared" si="18"/>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_xlfn.XLOOKUP(orders!C331,customers!$A$1:$A$1001,customers!$B$1:$B$1001,,0)</f>
        <v>Lisa Goodger</v>
      </c>
      <c r="G331" s="2" t="str">
        <f>IF(_xlfn.XLOOKUP(orders!C331,customers!$A$1:$A$1001,customers!$C$1:$C$1001,,0)=0,"",_xlfn.XLOOKUP(orders!C331,customers!$A$1:$A$1001,customers!$C$1:$C$1001,,0))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6"/>
        <v>21.479999999999997</v>
      </c>
      <c r="N331" t="str">
        <f t="shared" si="18"/>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_xlfn.XLOOKUP(orders!C332,customers!$A$1:$A$1001,customers!$B$1:$B$1001,,0)</f>
        <v>Selma McMillian</v>
      </c>
      <c r="G332" s="2" t="str">
        <f>IF(_xlfn.XLOOKUP(orders!C332,customers!$A$1:$A$1001,customers!$C$1:$C$1001,,0)=0,"",_xlfn.XLOOKUP(orders!C332,customers!$A$1:$A$1001,customers!$C$1:$C$1001,,0))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6"/>
        <v>16.11</v>
      </c>
      <c r="N332" t="str">
        <f t="shared" si="18"/>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_xlfn.XLOOKUP(orders!C333,customers!$A$1:$A$1001,customers!$B$1:$B$1001,,0)</f>
        <v>Corine Drewett</v>
      </c>
      <c r="G333" s="2" t="str">
        <f>IF(_xlfn.XLOOKUP(orders!C333,customers!$A$1:$A$1001,customers!$C$1:$C$1001,,0)=0,"",_xlfn.XLOOKUP(orders!C333,customers!$A$1:$A$1001,customers!$C$1:$C$1001,,0))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6"/>
        <v>22.884999999999998</v>
      </c>
      <c r="N333" t="str">
        <f t="shared" si="18"/>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_xlfn.XLOOKUP(orders!C334,customers!$A$1:$A$1001,customers!$B$1:$B$1001,,0)</f>
        <v>Quinn Parsons</v>
      </c>
      <c r="G334" s="2" t="str">
        <f>IF(_xlfn.XLOOKUP(orders!C334,customers!$A$1:$A$1001,customers!$C$1:$C$1001,,0)=0,"",_xlfn.XLOOKUP(orders!C334,customers!$A$1:$A$1001,customers!$C$1:$C$1001,,0))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6"/>
        <v>17.91</v>
      </c>
      <c r="N334" t="str">
        <f t="shared" si="18"/>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_xlfn.XLOOKUP(orders!C335,customers!$A$1:$A$1001,customers!$B$1:$B$1001,,0)</f>
        <v>Vivyan Ceely</v>
      </c>
      <c r="G335" s="2" t="str">
        <f>IF(_xlfn.XLOOKUP(orders!C335,customers!$A$1:$A$1001,customers!$C$1:$C$1001,,0)=0,"",_xlfn.XLOOKUP(orders!C335,customers!$A$1:$A$1001,customers!$C$1:$C$1001,,0))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6"/>
        <v>23.88</v>
      </c>
      <c r="N335" t="str">
        <f t="shared" si="18"/>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_xlfn.XLOOKUP(orders!C336,customers!$A$1:$A$1001,customers!$B$1:$B$1001,,0)</f>
        <v>Elonore Goodings</v>
      </c>
      <c r="G336" s="2" t="str">
        <f>IF(_xlfn.XLOOKUP(orders!C336,customers!$A$1:$A$1001,customers!$C$1:$C$1001,,0)=0,"",_xlfn.XLOOKUP(orders!C336,customers!$A$1:$A$1001,customers!$C$1:$C$1001,,0))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6"/>
        <v>59.75</v>
      </c>
      <c r="N336" t="str">
        <f t="shared" si="18"/>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_xlfn.XLOOKUP(orders!C337,customers!$A$1:$A$1001,customers!$B$1:$B$1001,,0)</f>
        <v>Clement Vasiliev</v>
      </c>
      <c r="G337" s="2" t="str">
        <f>IF(_xlfn.XLOOKUP(orders!C337,customers!$A$1:$A$1001,customers!$C$1:$C$1001,,0)=0,"",_xlfn.XLOOKUP(orders!C337,customers!$A$1:$A$1001,customers!$C$1:$C$1001,,0))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6"/>
        <v>28.53</v>
      </c>
      <c r="N337" t="str">
        <f t="shared" si="18"/>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_xlfn.XLOOKUP(orders!C338,customers!$A$1:$A$1001,customers!$B$1:$B$1001,,0)</f>
        <v>Terencio O'Moylan</v>
      </c>
      <c r="G338" s="2" t="str">
        <f>IF(_xlfn.XLOOKUP(orders!C338,customers!$A$1:$A$1001,customers!$C$1:$C$1001,,0)=0,"",_xlfn.XLOOKUP(orders!C338,customers!$A$1:$A$1001,customers!$C$1:$C$1001,,0))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6"/>
        <v>45</v>
      </c>
      <c r="N338" t="str">
        <f t="shared" si="18"/>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_xlfn.XLOOKUP(orders!C339,customers!$A$1:$A$1001,customers!$B$1:$B$1001,,0)</f>
        <v>Flynn Antony</v>
      </c>
      <c r="G339" s="2" t="str">
        <f>IF(_xlfn.XLOOKUP(orders!C339,customers!$A$1:$A$1001,customers!$C$1:$C$1001,,0)=0,"",_xlfn.XLOOKUP(orders!C339,customers!$A$1:$A$1001,customers!$C$1:$C$1001,,0))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6"/>
        <v>55.89</v>
      </c>
      <c r="N339" t="str">
        <f t="shared" si="18"/>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_xlfn.XLOOKUP(orders!C340,customers!$A$1:$A$1001,customers!$B$1:$B$1001,,0)</f>
        <v>Wyatan Fetherston</v>
      </c>
      <c r="G340" s="2" t="str">
        <f>IF(_xlfn.XLOOKUP(orders!C340,customers!$A$1:$A$1001,customers!$C$1:$C$1001,,0)=0,"",_xlfn.XLOOKUP(orders!C340,customers!$A$1:$A$1001,customers!$C$1:$C$1001,,0))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6"/>
        <v>59.4</v>
      </c>
      <c r="N340" t="str">
        <f t="shared" si="18"/>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_xlfn.XLOOKUP(orders!C341,customers!$A$1:$A$1001,customers!$B$1:$B$1001,,0)</f>
        <v>Emmaline Rasmus</v>
      </c>
      <c r="G341" s="2" t="str">
        <f>IF(_xlfn.XLOOKUP(orders!C341,customers!$A$1:$A$1001,customers!$C$1:$C$1001,,0)=0,"",_xlfn.XLOOKUP(orders!C341,customers!$A$1:$A$1001,customers!$C$1:$C$1001,,0))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6"/>
        <v>7.29</v>
      </c>
      <c r="N341" t="str">
        <f t="shared" si="18"/>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_xlfn.XLOOKUP(orders!C342,customers!$A$1:$A$1001,customers!$B$1:$B$1001,,0)</f>
        <v>Wesley Giorgioni</v>
      </c>
      <c r="G342" s="2" t="str">
        <f>IF(_xlfn.XLOOKUP(orders!C342,customers!$A$1:$A$1001,customers!$C$1:$C$1001,,0)=0,"",_xlfn.XLOOKUP(orders!C342,customers!$A$1:$A$1001,customers!$C$1:$C$1001,,0))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6"/>
        <v>7.29</v>
      </c>
      <c r="N342" t="str">
        <f t="shared" si="18"/>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_xlfn.XLOOKUP(orders!C343,customers!$A$1:$A$1001,customers!$B$1:$B$1001,,0)</f>
        <v>Lucienne Scargle</v>
      </c>
      <c r="G343" s="2" t="str">
        <f>IF(_xlfn.XLOOKUP(orders!C343,customers!$A$1:$A$1001,customers!$C$1:$C$1001,,0)=0,"",_xlfn.XLOOKUP(orders!C343,customers!$A$1:$A$1001,customers!$C$1:$C$1001,,0))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6"/>
        <v>17.82</v>
      </c>
      <c r="N343" t="str">
        <f t="shared" si="18"/>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_xlfn.XLOOKUP(orders!C344,customers!$A$1:$A$1001,customers!$B$1:$B$1001,,0)</f>
        <v>Lucienne Scargle</v>
      </c>
      <c r="G344" s="2" t="str">
        <f>IF(_xlfn.XLOOKUP(orders!C344,customers!$A$1:$A$1001,customers!$C$1:$C$1001,,0)=0,"",_xlfn.XLOOKUP(orders!C344,customers!$A$1:$A$1001,customers!$C$1:$C$1001,,0))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6"/>
        <v>38.849999999999994</v>
      </c>
      <c r="N344" t="str">
        <f t="shared" si="18"/>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_xlfn.XLOOKUP(orders!C345,customers!$A$1:$A$1001,customers!$B$1:$B$1001,,0)</f>
        <v>Noam Climance</v>
      </c>
      <c r="G345" s="2" t="str">
        <f>IF(_xlfn.XLOOKUP(orders!C345,customers!$A$1:$A$1001,customers!$C$1:$C$1001,,0)=0,"",_xlfn.XLOOKUP(orders!C345,customers!$A$1:$A$1001,customers!$C$1:$C$1001,,0))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6"/>
        <v>32.22</v>
      </c>
      <c r="N345" t="str">
        <f t="shared" si="18"/>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_xlfn.XLOOKUP(orders!C346,customers!$A$1:$A$1001,customers!$B$1:$B$1001,,0)</f>
        <v>Catarina Donn</v>
      </c>
      <c r="G346" s="2" t="str">
        <f>IF(_xlfn.XLOOKUP(orders!C346,customers!$A$1:$A$1001,customers!$C$1:$C$1001,,0)=0,"",_xlfn.XLOOKUP(orders!C346,customers!$A$1:$A$1001,customers!$C$1:$C$1001,,0))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6"/>
        <v>19.899999999999999</v>
      </c>
      <c r="N346" t="str">
        <f t="shared" si="18"/>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_xlfn.XLOOKUP(orders!C347,customers!$A$1:$A$1001,customers!$B$1:$B$1001,,0)</f>
        <v>Ameline Snazle</v>
      </c>
      <c r="G347" s="2" t="str">
        <f>IF(_xlfn.XLOOKUP(orders!C347,customers!$A$1:$A$1001,customers!$C$1:$C$1001,,0)=0,"",_xlfn.XLOOKUP(orders!C347,customers!$A$1:$A$1001,customers!$C$1:$C$1001,,0))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6"/>
        <v>59.75</v>
      </c>
      <c r="N347" t="str">
        <f t="shared" si="18"/>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_xlfn.XLOOKUP(orders!C348,customers!$A$1:$A$1001,customers!$B$1:$B$1001,,0)</f>
        <v>Rebeka Worg</v>
      </c>
      <c r="G348" s="2" t="str">
        <f>IF(_xlfn.XLOOKUP(orders!C348,customers!$A$1:$A$1001,customers!$C$1:$C$1001,,0)=0,"",_xlfn.XLOOKUP(orders!C348,customers!$A$1:$A$1001,customers!$C$1:$C$1001,,0))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6"/>
        <v>23.31</v>
      </c>
      <c r="N348" t="str">
        <f t="shared" si="18"/>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_xlfn.XLOOKUP(orders!C349,customers!$A$1:$A$1001,customers!$B$1:$B$1001,,0)</f>
        <v>Lewes Danes</v>
      </c>
      <c r="G349" s="2" t="str">
        <f>IF(_xlfn.XLOOKUP(orders!C349,customers!$A$1:$A$1001,customers!$C$1:$C$1001,,0)=0,"",_xlfn.XLOOKUP(orders!C349,customers!$A$1:$A$1001,customers!$C$1:$C$1001,,0))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6"/>
        <v>43.650000000000006</v>
      </c>
      <c r="N349" t="str">
        <f t="shared" si="18"/>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_xlfn.XLOOKUP(orders!C350,customers!$A$1:$A$1001,customers!$B$1:$B$1001,,0)</f>
        <v>Shelli Keynd</v>
      </c>
      <c r="G350" s="2" t="str">
        <f>IF(_xlfn.XLOOKUP(orders!C350,customers!$A$1:$A$1001,customers!$C$1:$C$1001,,0)=0,"",_xlfn.XLOOKUP(orders!C350,customers!$A$1:$A$1001,customers!$C$1:$C$1001,,0))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6"/>
        <v>204.92999999999995</v>
      </c>
      <c r="N350" t="str">
        <f t="shared" si="18"/>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_xlfn.XLOOKUP(orders!C351,customers!$A$1:$A$1001,customers!$B$1:$B$1001,,0)</f>
        <v>Dell Daveridge</v>
      </c>
      <c r="G351" s="2" t="str">
        <f>IF(_xlfn.XLOOKUP(orders!C351,customers!$A$1:$A$1001,customers!$C$1:$C$1001,,0)=0,"",_xlfn.XLOOKUP(orders!C351,customers!$A$1:$A$1001,customers!$C$1:$C$1001,,0))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6"/>
        <v>14.339999999999998</v>
      </c>
      <c r="N351" t="str">
        <f t="shared" si="18"/>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_xlfn.XLOOKUP(orders!C352,customers!$A$1:$A$1001,customers!$B$1:$B$1001,,0)</f>
        <v>Joshuah Awdry</v>
      </c>
      <c r="G352" s="2" t="str">
        <f>IF(_xlfn.XLOOKUP(orders!C352,customers!$A$1:$A$1001,customers!$C$1:$C$1001,,0)=0,"",_xlfn.XLOOKUP(orders!C352,customers!$A$1:$A$1001,customers!$C$1:$C$1001,,0))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6"/>
        <v>23.88</v>
      </c>
      <c r="N352" t="str">
        <f t="shared" si="18"/>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_xlfn.XLOOKUP(orders!C353,customers!$A$1:$A$1001,customers!$B$1:$B$1001,,0)</f>
        <v>Ethel Ryles</v>
      </c>
      <c r="G353" s="2" t="str">
        <f>IF(_xlfn.XLOOKUP(orders!C353,customers!$A$1:$A$1001,customers!$C$1:$C$1001,,0)=0,"",_xlfn.XLOOKUP(orders!C353,customers!$A$1:$A$1001,customers!$C$1:$C$1001,,0))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6"/>
        <v>22.5</v>
      </c>
      <c r="N353" t="str">
        <f t="shared" si="18"/>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_xlfn.XLOOKUP(orders!C354,customers!$A$1:$A$1001,customers!$B$1:$B$1001,,0)</f>
        <v>Flynn Antony</v>
      </c>
      <c r="G354" s="2" t="str">
        <f>IF(_xlfn.XLOOKUP(orders!C354,customers!$A$1:$A$1001,customers!$C$1:$C$1001,,0)=0,"",_xlfn.XLOOKUP(orders!C354,customers!$A$1:$A$1001,customers!$C$1:$C$1001,,0))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6"/>
        <v>36.450000000000003</v>
      </c>
      <c r="N354" t="str">
        <f t="shared" si="18"/>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_xlfn.XLOOKUP(orders!C355,customers!$A$1:$A$1001,customers!$B$1:$B$1001,,0)</f>
        <v>Maitilde Boxill</v>
      </c>
      <c r="G355" s="2" t="str">
        <f>IF(_xlfn.XLOOKUP(orders!C355,customers!$A$1:$A$1001,customers!$C$1:$C$1001,,0)=0,"",_xlfn.XLOOKUP(orders!C355,customers!$A$1:$A$1001,customers!$C$1:$C$1001,,0))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6"/>
        <v>27</v>
      </c>
      <c r="N355" t="str">
        <f t="shared" si="18"/>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_xlfn.XLOOKUP(orders!C356,customers!$A$1:$A$1001,customers!$B$1:$B$1001,,0)</f>
        <v>Jodee Caldicott</v>
      </c>
      <c r="G356" s="2" t="str">
        <f>IF(_xlfn.XLOOKUP(orders!C356,customers!$A$1:$A$1001,customers!$C$1:$C$1001,,0)=0,"",_xlfn.XLOOKUP(orders!C356,customers!$A$1:$A$1001,customers!$C$1:$C$1001,,0))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6"/>
        <v>155.24999999999997</v>
      </c>
      <c r="N356" t="str">
        <f t="shared" si="18"/>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_xlfn.XLOOKUP(orders!C357,customers!$A$1:$A$1001,customers!$B$1:$B$1001,,0)</f>
        <v>Marianna Vedmore</v>
      </c>
      <c r="G357" s="2" t="str">
        <f>IF(_xlfn.XLOOKUP(orders!C357,customers!$A$1:$A$1001,customers!$C$1:$C$1001,,0)=0,"",_xlfn.XLOOKUP(orders!C357,customers!$A$1:$A$1001,customers!$C$1:$C$1001,,0))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6"/>
        <v>114.42499999999998</v>
      </c>
      <c r="N357" t="str">
        <f t="shared" si="18"/>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_xlfn.XLOOKUP(orders!C358,customers!$A$1:$A$1001,customers!$B$1:$B$1001,,0)</f>
        <v>Willey Romao</v>
      </c>
      <c r="G358" s="2" t="str">
        <f>IF(_xlfn.XLOOKUP(orders!C358,customers!$A$1:$A$1001,customers!$C$1:$C$1001,,0)=0,"",_xlfn.XLOOKUP(orders!C358,customers!$A$1:$A$1001,customers!$C$1:$C$1001,,0))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6"/>
        <v>51.8</v>
      </c>
      <c r="N358" t="str">
        <f t="shared" si="18"/>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_xlfn.XLOOKUP(orders!C359,customers!$A$1:$A$1001,customers!$B$1:$B$1001,,0)</f>
        <v>Enriqueta Ixor</v>
      </c>
      <c r="G359" s="2" t="str">
        <f>IF(_xlfn.XLOOKUP(orders!C359,customers!$A$1:$A$1001,customers!$C$1:$C$1001,,0)=0,"",_xlfn.XLOOKUP(orders!C359,customers!$A$1:$A$1001,customers!$C$1:$C$1001,,0))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6"/>
        <v>155.24999999999997</v>
      </c>
      <c r="N359" t="str">
        <f t="shared" si="18"/>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_xlfn.XLOOKUP(orders!C360,customers!$A$1:$A$1001,customers!$B$1:$B$1001,,0)</f>
        <v>Tomasina Cotmore</v>
      </c>
      <c r="G360" s="2" t="str">
        <f>IF(_xlfn.XLOOKUP(orders!C360,customers!$A$1:$A$1001,customers!$C$1:$C$1001,,0)=0,"",_xlfn.XLOOKUP(orders!C360,customers!$A$1:$A$1001,customers!$C$1:$C$1001,,0))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6"/>
        <v>29.784999999999997</v>
      </c>
      <c r="N360" t="str">
        <f t="shared" si="18"/>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_xlfn.XLOOKUP(orders!C361,customers!$A$1:$A$1001,customers!$B$1:$B$1001,,0)</f>
        <v>Yuma Skipsey</v>
      </c>
      <c r="G361" s="2" t="str">
        <f>IF(_xlfn.XLOOKUP(orders!C361,customers!$A$1:$A$1001,customers!$C$1:$C$1001,,0)=0,"",_xlfn.XLOOKUP(orders!C361,customers!$A$1:$A$1001,customers!$C$1:$C$1001,,0))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6"/>
        <v>21.509999999999998</v>
      </c>
      <c r="N361" t="str">
        <f t="shared" si="18"/>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_xlfn.XLOOKUP(orders!C362,customers!$A$1:$A$1001,customers!$B$1:$B$1001,,0)</f>
        <v>Nicko Corps</v>
      </c>
      <c r="G362" s="2" t="str">
        <f>IF(_xlfn.XLOOKUP(orders!C362,customers!$A$1:$A$1001,customers!$C$1:$C$1001,,0)=0,"",_xlfn.XLOOKUP(orders!C362,customers!$A$1:$A$1001,customers!$C$1:$C$1001,,0))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6"/>
        <v>41.169999999999995</v>
      </c>
      <c r="N362" t="str">
        <f t="shared" si="18"/>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_xlfn.XLOOKUP(orders!C363,customers!$A$1:$A$1001,customers!$B$1:$B$1001,,0)</f>
        <v>Nicko Corps</v>
      </c>
      <c r="G363" s="2" t="str">
        <f>IF(_xlfn.XLOOKUP(orders!C363,customers!$A$1:$A$1001,customers!$C$1:$C$1001,,0)=0,"",_xlfn.XLOOKUP(orders!C363,customers!$A$1:$A$1001,customers!$C$1:$C$1001,,0))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6"/>
        <v>5.97</v>
      </c>
      <c r="N363" t="str">
        <f t="shared" si="18"/>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_xlfn.XLOOKUP(orders!C364,customers!$A$1:$A$1001,customers!$B$1:$B$1001,,0)</f>
        <v>Feliks Babber</v>
      </c>
      <c r="G364" s="2" t="str">
        <f>IF(_xlfn.XLOOKUP(orders!C364,customers!$A$1:$A$1001,customers!$C$1:$C$1001,,0)=0,"",_xlfn.XLOOKUP(orders!C364,customers!$A$1:$A$1001,customers!$C$1:$C$1001,,0))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6"/>
        <v>74.25</v>
      </c>
      <c r="N364" t="str">
        <f t="shared" si="18"/>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_xlfn.XLOOKUP(orders!C365,customers!$A$1:$A$1001,customers!$B$1:$B$1001,,0)</f>
        <v>Kaja Loxton</v>
      </c>
      <c r="G365" s="2" t="str">
        <f>IF(_xlfn.XLOOKUP(orders!C365,customers!$A$1:$A$1001,customers!$C$1:$C$1001,,0)=0,"",_xlfn.XLOOKUP(orders!C365,customers!$A$1:$A$1001,customers!$C$1:$C$1001,,0))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6"/>
        <v>87.300000000000011</v>
      </c>
      <c r="N365" t="str">
        <f t="shared" si="18"/>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_xlfn.XLOOKUP(orders!C366,customers!$A$1:$A$1001,customers!$B$1:$B$1001,,0)</f>
        <v>Parker Tofful</v>
      </c>
      <c r="G366" s="2" t="str">
        <f>IF(_xlfn.XLOOKUP(orders!C366,customers!$A$1:$A$1001,customers!$C$1:$C$1001,,0)=0,"",_xlfn.XLOOKUP(orders!C366,customers!$A$1:$A$1001,customers!$C$1:$C$1001,,0))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6"/>
        <v>72.900000000000006</v>
      </c>
      <c r="N366" t="str">
        <f t="shared" si="18"/>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_xlfn.XLOOKUP(orders!C367,customers!$A$1:$A$1001,customers!$B$1:$B$1001,,0)</f>
        <v>Casi Gwinnett</v>
      </c>
      <c r="G367" s="2" t="str">
        <f>IF(_xlfn.XLOOKUP(orders!C367,customers!$A$1:$A$1001,customers!$C$1:$C$1001,,0)=0,"",_xlfn.XLOOKUP(orders!C367,customers!$A$1:$A$1001,customers!$C$1:$C$1001,,0))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6"/>
        <v>7.77</v>
      </c>
      <c r="N367" t="str">
        <f t="shared" si="18"/>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_xlfn.XLOOKUP(orders!C368,customers!$A$1:$A$1001,customers!$B$1:$B$1001,,0)</f>
        <v>Saree Ellesworth</v>
      </c>
      <c r="G368" s="2" t="str">
        <f>IF(_xlfn.XLOOKUP(orders!C368,customers!$A$1:$A$1001,customers!$C$1:$C$1001,,0)=0,"",_xlfn.XLOOKUP(orders!C368,customers!$A$1:$A$1001,customers!$C$1:$C$1001,,0))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6"/>
        <v>43.74</v>
      </c>
      <c r="N368" t="str">
        <f t="shared" si="18"/>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_xlfn.XLOOKUP(orders!C369,customers!$A$1:$A$1001,customers!$B$1:$B$1001,,0)</f>
        <v>Silvio Iorizzi</v>
      </c>
      <c r="G369" s="2" t="str">
        <f>IF(_xlfn.XLOOKUP(orders!C369,customers!$A$1:$A$1001,customers!$C$1:$C$1001,,0)=0,"",_xlfn.XLOOKUP(orders!C369,customers!$A$1:$A$1001,customers!$C$1:$C$1001,,0))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6"/>
        <v>8.73</v>
      </c>
      <c r="N369" t="str">
        <f t="shared" si="18"/>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_xlfn.XLOOKUP(orders!C370,customers!$A$1:$A$1001,customers!$B$1:$B$1001,,0)</f>
        <v>Leesa Flaonier</v>
      </c>
      <c r="G370" s="2" t="str">
        <f>IF(_xlfn.XLOOKUP(orders!C370,customers!$A$1:$A$1001,customers!$C$1:$C$1001,,0)=0,"",_xlfn.XLOOKUP(orders!C370,customers!$A$1:$A$1001,customers!$C$1:$C$1001,,0))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6"/>
        <v>63.249999999999993</v>
      </c>
      <c r="N370" t="str">
        <f t="shared" si="18"/>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_xlfn.XLOOKUP(orders!C371,customers!$A$1:$A$1001,customers!$B$1:$B$1001,,0)</f>
        <v>Abba Pummell</v>
      </c>
      <c r="G371" s="2" t="str">
        <f>IF(_xlfn.XLOOKUP(orders!C371,customers!$A$1:$A$1001,customers!$C$1:$C$1001,,0)=0,"",_xlfn.XLOOKUP(orders!C371,customers!$A$1:$A$1001,customers!$C$1:$C$1001,,0))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6"/>
        <v>8.91</v>
      </c>
      <c r="N371" t="str">
        <f t="shared" si="18"/>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_xlfn.XLOOKUP(orders!C372,customers!$A$1:$A$1001,customers!$B$1:$B$1001,,0)</f>
        <v>Corinna Catcheside</v>
      </c>
      <c r="G372" s="2" t="str">
        <f>IF(_xlfn.XLOOKUP(orders!C372,customers!$A$1:$A$1001,customers!$C$1:$C$1001,,0)=0,"",_xlfn.XLOOKUP(orders!C372,customers!$A$1:$A$1001,customers!$C$1:$C$1001,,0))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6"/>
        <v>24.3</v>
      </c>
      <c r="N372" t="str">
        <f t="shared" si="18"/>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_xlfn.XLOOKUP(orders!C373,customers!$A$1:$A$1001,customers!$B$1:$B$1001,,0)</f>
        <v>Cortney Gibbonson</v>
      </c>
      <c r="G373" s="2" t="str">
        <f>IF(_xlfn.XLOOKUP(orders!C373,customers!$A$1:$A$1001,customers!$C$1:$C$1001,,0)=0,"",_xlfn.XLOOKUP(orders!C373,customers!$A$1:$A$1001,customers!$C$1:$C$1001,,0))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6"/>
        <v>46.62</v>
      </c>
      <c r="N373" t="str">
        <f t="shared" si="18"/>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_xlfn.XLOOKUP(orders!C374,customers!$A$1:$A$1001,customers!$B$1:$B$1001,,0)</f>
        <v>Terri Farra</v>
      </c>
      <c r="G374" s="2" t="str">
        <f>IF(_xlfn.XLOOKUP(orders!C374,customers!$A$1:$A$1001,customers!$C$1:$C$1001,,0)=0,"",_xlfn.XLOOKUP(orders!C374,customers!$A$1:$A$1001,customers!$C$1:$C$1001,,0))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6"/>
        <v>43.019999999999996</v>
      </c>
      <c r="N374" t="str">
        <f t="shared" si="18"/>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_xlfn.XLOOKUP(orders!C375,customers!$A$1:$A$1001,customers!$B$1:$B$1001,,0)</f>
        <v>Corney Curme</v>
      </c>
      <c r="G375" s="2" t="str">
        <f>IF(_xlfn.XLOOKUP(orders!C375,customers!$A$1:$A$1001,customers!$C$1:$C$1001,,0)=0,"",_xlfn.XLOOKUP(orders!C375,customers!$A$1:$A$1001,customers!$C$1:$C$1001,,0))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6"/>
        <v>17.91</v>
      </c>
      <c r="N375" t="str">
        <f t="shared" si="18"/>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_xlfn.XLOOKUP(orders!C376,customers!$A$1:$A$1001,customers!$B$1:$B$1001,,0)</f>
        <v>Gothart Bamfield</v>
      </c>
      <c r="G376" s="2" t="str">
        <f>IF(_xlfn.XLOOKUP(orders!C376,customers!$A$1:$A$1001,customers!$C$1:$C$1001,,0)=0,"",_xlfn.XLOOKUP(orders!C376,customers!$A$1:$A$1001,customers!$C$1:$C$1001,,0))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6"/>
        <v>38.04</v>
      </c>
      <c r="N376" t="str">
        <f t="shared" si="18"/>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_xlfn.XLOOKUP(orders!C377,customers!$A$1:$A$1001,customers!$B$1:$B$1001,,0)</f>
        <v>Waylin Hollingdale</v>
      </c>
      <c r="G377" s="2" t="str">
        <f>IF(_xlfn.XLOOKUP(orders!C377,customers!$A$1:$A$1001,customers!$C$1:$C$1001,,0)=0,"",_xlfn.XLOOKUP(orders!C377,customers!$A$1:$A$1001,customers!$C$1:$C$1001,,0))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6"/>
        <v>6.75</v>
      </c>
      <c r="N377" t="str">
        <f t="shared" si="18"/>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_xlfn.XLOOKUP(orders!C378,customers!$A$1:$A$1001,customers!$B$1:$B$1001,,0)</f>
        <v>Judd De Leek</v>
      </c>
      <c r="G378" s="2" t="str">
        <f>IF(_xlfn.XLOOKUP(orders!C378,customers!$A$1:$A$1001,customers!$C$1:$C$1001,,0)=0,"",_xlfn.XLOOKUP(orders!C378,customers!$A$1:$A$1001,customers!$C$1:$C$1001,,0))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6"/>
        <v>5.97</v>
      </c>
      <c r="N378" t="str">
        <f t="shared" si="18"/>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_xlfn.XLOOKUP(orders!C379,customers!$A$1:$A$1001,customers!$B$1:$B$1001,,0)</f>
        <v>Vanya Skullet</v>
      </c>
      <c r="G379" s="2" t="str">
        <f>IF(_xlfn.XLOOKUP(orders!C379,customers!$A$1:$A$1001,customers!$C$1:$C$1001,,0)=0,"",_xlfn.XLOOKUP(orders!C379,customers!$A$1:$A$1001,customers!$C$1:$C$1001,,0))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6"/>
        <v>8.0549999999999997</v>
      </c>
      <c r="N379" t="str">
        <f t="shared" si="18"/>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_xlfn.XLOOKUP(orders!C380,customers!$A$1:$A$1001,customers!$B$1:$B$1001,,0)</f>
        <v>Jany Rudeforth</v>
      </c>
      <c r="G380" s="2" t="str">
        <f>IF(_xlfn.XLOOKUP(orders!C380,customers!$A$1:$A$1001,customers!$C$1:$C$1001,,0)=0,"",_xlfn.XLOOKUP(orders!C380,customers!$A$1:$A$1001,customers!$C$1:$C$1001,,0))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6"/>
        <v>23.31</v>
      </c>
      <c r="N380" t="str">
        <f t="shared" si="18"/>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_xlfn.XLOOKUP(orders!C381,customers!$A$1:$A$1001,customers!$B$1:$B$1001,,0)</f>
        <v>Ashbey Tomaszewski</v>
      </c>
      <c r="G381" s="2" t="str">
        <f>IF(_xlfn.XLOOKUP(orders!C381,customers!$A$1:$A$1001,customers!$C$1:$C$1001,,0)=0,"",_xlfn.XLOOKUP(orders!C381,customers!$A$1:$A$1001,customers!$C$1:$C$1001,,0))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6"/>
        <v>43.019999999999996</v>
      </c>
      <c r="N381" t="str">
        <f t="shared" si="18"/>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_xlfn.XLOOKUP(orders!C382,customers!$A$1:$A$1001,customers!$B$1:$B$1001,,0)</f>
        <v>Flynn Antony</v>
      </c>
      <c r="G382" s="2" t="str">
        <f>IF(_xlfn.XLOOKUP(orders!C382,customers!$A$1:$A$1001,customers!$C$1:$C$1001,,0)=0,"",_xlfn.XLOOKUP(orders!C382,customers!$A$1:$A$1001,customers!$C$1:$C$1001,,0))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6"/>
        <v>23.31</v>
      </c>
      <c r="N382" t="str">
        <f t="shared" si="18"/>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_xlfn.XLOOKUP(orders!C383,customers!$A$1:$A$1001,customers!$B$1:$B$1001,,0)</f>
        <v>Pren Bess</v>
      </c>
      <c r="G383" s="2" t="str">
        <f>IF(_xlfn.XLOOKUP(orders!C383,customers!$A$1:$A$1001,customers!$C$1:$C$1001,,0)=0,"",_xlfn.XLOOKUP(orders!C383,customers!$A$1:$A$1001,customers!$C$1:$C$1001,,0))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6"/>
        <v>14.924999999999999</v>
      </c>
      <c r="N383" t="str">
        <f t="shared" si="18"/>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_xlfn.XLOOKUP(orders!C384,customers!$A$1:$A$1001,customers!$B$1:$B$1001,,0)</f>
        <v>Elka Windress</v>
      </c>
      <c r="G384" s="2" t="str">
        <f>IF(_xlfn.XLOOKUP(orders!C384,customers!$A$1:$A$1001,customers!$C$1:$C$1001,,0)=0,"",_xlfn.XLOOKUP(orders!C384,customers!$A$1:$A$1001,customers!$C$1:$C$1001,,0))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6"/>
        <v>21.87</v>
      </c>
      <c r="N384" t="str">
        <f t="shared" si="18"/>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_xlfn.XLOOKUP(orders!C385,customers!$A$1:$A$1001,customers!$B$1:$B$1001,,0)</f>
        <v>Marty Kidstoun</v>
      </c>
      <c r="G385" s="2" t="str">
        <f>IF(_xlfn.XLOOKUP(orders!C385,customers!$A$1:$A$1001,customers!$C$1:$C$1001,,0)=0,"",_xlfn.XLOOKUP(orders!C385,customers!$A$1:$A$1001,customers!$C$1:$C$1001,,0))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6"/>
        <v>53.46</v>
      </c>
      <c r="N385" t="str">
        <f t="shared" si="18"/>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_xlfn.XLOOKUP(orders!C386,customers!$A$1:$A$1001,customers!$B$1:$B$1001,,0)</f>
        <v>Nickey Dimbleby</v>
      </c>
      <c r="G386" s="2" t="str">
        <f>IF(_xlfn.XLOOKUP(orders!C386,customers!$A$1:$A$1001,customers!$C$1:$C$1001,,0)=0,"",_xlfn.XLOOKUP(orders!C386,customers!$A$1:$A$1001,customers!$C$1:$C$1001,,0))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6"/>
        <v>119.13999999999999</v>
      </c>
      <c r="N386" t="str">
        <f t="shared" si="18"/>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_xlfn.XLOOKUP(orders!C387,customers!$A$1:$A$1001,customers!$B$1:$B$1001,,0)</f>
        <v>Virgil Baumadier</v>
      </c>
      <c r="G387" s="2" t="str">
        <f>IF(_xlfn.XLOOKUP(orders!C387,customers!$A$1:$A$1001,customers!$C$1:$C$1001,,0)=0,"",_xlfn.XLOOKUP(orders!C387,customers!$A$1:$A$1001,customers!$C$1:$C$1001,,0))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9">L387*E387</f>
        <v>43.650000000000006</v>
      </c>
      <c r="N387" t="str">
        <f t="shared" si="18"/>
        <v>Liberica</v>
      </c>
      <c r="O387" t="str">
        <f t="shared" ref="O387:O450" si="20">IF(J387="M","Medium",IF(J387= "L", "Light",IF(J387="D", "Dark","")))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_xlfn.XLOOKUP(orders!C388,customers!$A$1:$A$1001,customers!$B$1:$B$1001,,0)</f>
        <v>Lenore Messenbird</v>
      </c>
      <c r="G388" s="2" t="str">
        <f>IF(_xlfn.XLOOKUP(orders!C388,customers!$A$1:$A$1001,customers!$C$1:$C$1001,,0)=0,"",_xlfn.XLOOKUP(orders!C388,customers!$A$1:$A$1001,customers!$C$1:$C$1001,,0))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9"/>
        <v>17.91</v>
      </c>
      <c r="N388" t="str">
        <f t="shared" si="18"/>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_xlfn.XLOOKUP(orders!C389,customers!$A$1:$A$1001,customers!$B$1:$B$1001,,0)</f>
        <v>Shirleen Welds</v>
      </c>
      <c r="G389" s="2" t="str">
        <f>IF(_xlfn.XLOOKUP(orders!C389,customers!$A$1:$A$1001,customers!$C$1:$C$1001,,0)=0,"",_xlfn.XLOOKUP(orders!C389,customers!$A$1:$A$1001,customers!$C$1:$C$1001,,0))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9"/>
        <v>74.25</v>
      </c>
      <c r="N389" t="str">
        <f t="shared" si="18"/>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_xlfn.XLOOKUP(orders!C390,customers!$A$1:$A$1001,customers!$B$1:$B$1001,,0)</f>
        <v>Maisie Sarvar</v>
      </c>
      <c r="G390" s="2" t="str">
        <f>IF(_xlfn.XLOOKUP(orders!C390,customers!$A$1:$A$1001,customers!$C$1:$C$1001,,0)=0,"",_xlfn.XLOOKUP(orders!C390,customers!$A$1:$A$1001,customers!$C$1:$C$1001,,0))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9"/>
        <v>11.654999999999999</v>
      </c>
      <c r="N390" t="str">
        <f t="shared" si="18"/>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_xlfn.XLOOKUP(orders!C391,customers!$A$1:$A$1001,customers!$B$1:$B$1001,,0)</f>
        <v>Andrej Havick</v>
      </c>
      <c r="G391" s="2" t="str">
        <f>IF(_xlfn.XLOOKUP(orders!C391,customers!$A$1:$A$1001,customers!$C$1:$C$1001,,0)=0,"",_xlfn.XLOOKUP(orders!C391,customers!$A$1:$A$1001,customers!$C$1:$C$1001,,0))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9"/>
        <v>23.31</v>
      </c>
      <c r="N391" t="str">
        <f t="shared" si="18"/>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_xlfn.XLOOKUP(orders!C392,customers!$A$1:$A$1001,customers!$B$1:$B$1001,,0)</f>
        <v>Sloan Diviny</v>
      </c>
      <c r="G392" s="2" t="str">
        <f>IF(_xlfn.XLOOKUP(orders!C392,customers!$A$1:$A$1001,customers!$C$1:$C$1001,,0)=0,"",_xlfn.XLOOKUP(orders!C392,customers!$A$1:$A$1001,customers!$C$1:$C$1001,,0))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9"/>
        <v>14.58</v>
      </c>
      <c r="N392" t="str">
        <f t="shared" ref="N392:N455" si="21">IF(I392="Rob","Robusta",IF(I392="Exc","Excelsa",IF(I392="Ara","Arabica",IF(I392="Lib","Liberica"))))</f>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_xlfn.XLOOKUP(orders!C393,customers!$A$1:$A$1001,customers!$B$1:$B$1001,,0)</f>
        <v>Itch Norquoy</v>
      </c>
      <c r="G393" s="2" t="str">
        <f>IF(_xlfn.XLOOKUP(orders!C393,customers!$A$1:$A$1001,customers!$C$1:$C$1001,,0)=0,"",_xlfn.XLOOKUP(orders!C393,customers!$A$1:$A$1001,customers!$C$1:$C$1001,,0))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9"/>
        <v>13.5</v>
      </c>
      <c r="N393" t="str">
        <f t="shared" si="21"/>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_xlfn.XLOOKUP(orders!C394,customers!$A$1:$A$1001,customers!$B$1:$B$1001,,0)</f>
        <v>Anson Iddison</v>
      </c>
      <c r="G394" s="2" t="str">
        <f>IF(_xlfn.XLOOKUP(orders!C394,customers!$A$1:$A$1001,customers!$C$1:$C$1001,,0)=0,"",_xlfn.XLOOKUP(orders!C394,customers!$A$1:$A$1001,customers!$C$1:$C$1001,,0))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9"/>
        <v>89.1</v>
      </c>
      <c r="N394" t="str">
        <f t="shared" si="21"/>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_xlfn.XLOOKUP(orders!C395,customers!$A$1:$A$1001,customers!$B$1:$B$1001,,0)</f>
        <v>Anson Iddison</v>
      </c>
      <c r="G395" s="2" t="str">
        <f>IF(_xlfn.XLOOKUP(orders!C395,customers!$A$1:$A$1001,customers!$C$1:$C$1001,,0)=0,"",_xlfn.XLOOKUP(orders!C395,customers!$A$1:$A$1001,customers!$C$1:$C$1001,,0))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9"/>
        <v>3.8849999999999998</v>
      </c>
      <c r="N395" t="str">
        <f t="shared" si="21"/>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_xlfn.XLOOKUP(orders!C396,customers!$A$1:$A$1001,customers!$B$1:$B$1001,,0)</f>
        <v>Randal Longfield</v>
      </c>
      <c r="G396" s="2" t="str">
        <f>IF(_xlfn.XLOOKUP(orders!C396,customers!$A$1:$A$1001,customers!$C$1:$C$1001,,0)=0,"",_xlfn.XLOOKUP(orders!C396,customers!$A$1:$A$1001,customers!$C$1:$C$1001,,0))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9"/>
        <v>109.93999999999998</v>
      </c>
      <c r="N396" t="str">
        <f t="shared" si="21"/>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_xlfn.XLOOKUP(orders!C397,customers!$A$1:$A$1001,customers!$B$1:$B$1001,,0)</f>
        <v>Gregorius Kislingbury</v>
      </c>
      <c r="G397" s="2" t="str">
        <f>IF(_xlfn.XLOOKUP(orders!C397,customers!$A$1:$A$1001,customers!$C$1:$C$1001,,0)=0,"",_xlfn.XLOOKUP(orders!C397,customers!$A$1:$A$1001,customers!$C$1:$C$1001,,0))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9"/>
        <v>46.62</v>
      </c>
      <c r="N397" t="str">
        <f t="shared" si="21"/>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_xlfn.XLOOKUP(orders!C398,customers!$A$1:$A$1001,customers!$B$1:$B$1001,,0)</f>
        <v>Xenos Gibbons</v>
      </c>
      <c r="G398" s="2" t="str">
        <f>IF(_xlfn.XLOOKUP(orders!C398,customers!$A$1:$A$1001,customers!$C$1:$C$1001,,0)=0,"",_xlfn.XLOOKUP(orders!C398,customers!$A$1:$A$1001,customers!$C$1:$C$1001,,0))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9"/>
        <v>38.849999999999994</v>
      </c>
      <c r="N398" t="str">
        <f t="shared" si="21"/>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_xlfn.XLOOKUP(orders!C399,customers!$A$1:$A$1001,customers!$B$1:$B$1001,,0)</f>
        <v>Fleur Parres</v>
      </c>
      <c r="G399" s="2" t="str">
        <f>IF(_xlfn.XLOOKUP(orders!C399,customers!$A$1:$A$1001,customers!$C$1:$C$1001,,0)=0,"",_xlfn.XLOOKUP(orders!C399,customers!$A$1:$A$1001,customers!$C$1:$C$1001,,0))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9"/>
        <v>31.08</v>
      </c>
      <c r="N399" t="str">
        <f t="shared" si="21"/>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_xlfn.XLOOKUP(orders!C400,customers!$A$1:$A$1001,customers!$B$1:$B$1001,,0)</f>
        <v>Gran Sibray</v>
      </c>
      <c r="G400" s="2" t="str">
        <f>IF(_xlfn.XLOOKUP(orders!C400,customers!$A$1:$A$1001,customers!$C$1:$C$1001,,0)=0,"",_xlfn.XLOOKUP(orders!C400,customers!$A$1:$A$1001,customers!$C$1:$C$1001,,0))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9"/>
        <v>17.91</v>
      </c>
      <c r="N400" t="str">
        <f t="shared" si="21"/>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_xlfn.XLOOKUP(orders!C401,customers!$A$1:$A$1001,customers!$B$1:$B$1001,,0)</f>
        <v>Ingelbert Hotchkin</v>
      </c>
      <c r="G401" s="2" t="str">
        <f>IF(_xlfn.XLOOKUP(orders!C401,customers!$A$1:$A$1001,customers!$C$1:$C$1001,,0)=0,"",_xlfn.XLOOKUP(orders!C401,customers!$A$1:$A$1001,customers!$C$1:$C$1001,,0))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9"/>
        <v>167.67000000000002</v>
      </c>
      <c r="N401" t="str">
        <f t="shared" si="21"/>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_xlfn.XLOOKUP(orders!C402,customers!$A$1:$A$1001,customers!$B$1:$B$1001,,0)</f>
        <v>Neely Broadberrie</v>
      </c>
      <c r="G402" s="2" t="str">
        <f>IF(_xlfn.XLOOKUP(orders!C402,customers!$A$1:$A$1001,customers!$C$1:$C$1001,,0)=0,"",_xlfn.XLOOKUP(orders!C402,customers!$A$1:$A$1001,customers!$C$1:$C$1001,,0))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9"/>
        <v>63.4</v>
      </c>
      <c r="N402" t="str">
        <f t="shared" si="21"/>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_xlfn.XLOOKUP(orders!C403,customers!$A$1:$A$1001,customers!$B$1:$B$1001,,0)</f>
        <v>Rutger Pithcock</v>
      </c>
      <c r="G403" s="2" t="str">
        <f>IF(_xlfn.XLOOKUP(orders!C403,customers!$A$1:$A$1001,customers!$C$1:$C$1001,,0)=0,"",_xlfn.XLOOKUP(orders!C403,customers!$A$1:$A$1001,customers!$C$1:$C$1001,,0))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9"/>
        <v>8.73</v>
      </c>
      <c r="N403" t="str">
        <f t="shared" si="21"/>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_xlfn.XLOOKUP(orders!C404,customers!$A$1:$A$1001,customers!$B$1:$B$1001,,0)</f>
        <v>Gale Croysdale</v>
      </c>
      <c r="G404" s="2" t="str">
        <f>IF(_xlfn.XLOOKUP(orders!C404,customers!$A$1:$A$1001,customers!$C$1:$C$1001,,0)=0,"",_xlfn.XLOOKUP(orders!C404,customers!$A$1:$A$1001,customers!$C$1:$C$1001,,0))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9"/>
        <v>26.849999999999998</v>
      </c>
      <c r="N404" t="str">
        <f t="shared" si="21"/>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_xlfn.XLOOKUP(orders!C405,customers!$A$1:$A$1001,customers!$B$1:$B$1001,,0)</f>
        <v>Benedetto Gozzett</v>
      </c>
      <c r="G405" s="2" t="str">
        <f>IF(_xlfn.XLOOKUP(orders!C405,customers!$A$1:$A$1001,customers!$C$1:$C$1001,,0)=0,"",_xlfn.XLOOKUP(orders!C405,customers!$A$1:$A$1001,customers!$C$1:$C$1001,,0))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9"/>
        <v>9.51</v>
      </c>
      <c r="N405" t="str">
        <f t="shared" si="21"/>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_xlfn.XLOOKUP(orders!C406,customers!$A$1:$A$1001,customers!$B$1:$B$1001,,0)</f>
        <v>Tania Craggs</v>
      </c>
      <c r="G406" s="2" t="str">
        <f>IF(_xlfn.XLOOKUP(orders!C406,customers!$A$1:$A$1001,customers!$C$1:$C$1001,,0)=0,"",_xlfn.XLOOKUP(orders!C406,customers!$A$1:$A$1001,customers!$C$1:$C$1001,,0))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9"/>
        <v>39.799999999999997</v>
      </c>
      <c r="N406" t="str">
        <f t="shared" si="21"/>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_xlfn.XLOOKUP(orders!C407,customers!$A$1:$A$1001,customers!$B$1:$B$1001,,0)</f>
        <v>Leonie Cullrford</v>
      </c>
      <c r="G407" s="2" t="str">
        <f>IF(_xlfn.XLOOKUP(orders!C407,customers!$A$1:$A$1001,customers!$C$1:$C$1001,,0)=0,"",_xlfn.XLOOKUP(orders!C407,customers!$A$1:$A$1001,customers!$C$1:$C$1001,,0))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9"/>
        <v>24.75</v>
      </c>
      <c r="N407" t="str">
        <f t="shared" si="21"/>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_xlfn.XLOOKUP(orders!C408,customers!$A$1:$A$1001,customers!$B$1:$B$1001,,0)</f>
        <v>Auguste Rizon</v>
      </c>
      <c r="G408" s="2" t="str">
        <f>IF(_xlfn.XLOOKUP(orders!C408,customers!$A$1:$A$1001,customers!$C$1:$C$1001,,0)=0,"",_xlfn.XLOOKUP(orders!C408,customers!$A$1:$A$1001,customers!$C$1:$C$1001,,0))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9"/>
        <v>68.75</v>
      </c>
      <c r="N408" t="str">
        <f t="shared" si="21"/>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_xlfn.XLOOKUP(orders!C409,customers!$A$1:$A$1001,customers!$B$1:$B$1001,,0)</f>
        <v>Lorin Guerrazzi</v>
      </c>
      <c r="G409" s="2" t="str">
        <f>IF(_xlfn.XLOOKUP(orders!C409,customers!$A$1:$A$1001,customers!$C$1:$C$1001,,0)=0,"",_xlfn.XLOOKUP(orders!C409,customers!$A$1:$A$1001,customers!$C$1:$C$1001,,0))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9"/>
        <v>49.5</v>
      </c>
      <c r="N409" t="str">
        <f t="shared" si="21"/>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_xlfn.XLOOKUP(orders!C410,customers!$A$1:$A$1001,customers!$B$1:$B$1001,,0)</f>
        <v>Felice Miell</v>
      </c>
      <c r="G410" s="2" t="str">
        <f>IF(_xlfn.XLOOKUP(orders!C410,customers!$A$1:$A$1001,customers!$C$1:$C$1001,,0)=0,"",_xlfn.XLOOKUP(orders!C410,customers!$A$1:$A$1001,customers!$C$1:$C$1001,,0))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9"/>
        <v>51.749999999999993</v>
      </c>
      <c r="N410" t="str">
        <f t="shared" si="21"/>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_xlfn.XLOOKUP(orders!C411,customers!$A$1:$A$1001,customers!$B$1:$B$1001,,0)</f>
        <v>Hamish Skeech</v>
      </c>
      <c r="G411" s="2" t="str">
        <f>IF(_xlfn.XLOOKUP(orders!C411,customers!$A$1:$A$1001,customers!$C$1:$C$1001,,0)=0,"",_xlfn.XLOOKUP(orders!C411,customers!$A$1:$A$1001,customers!$C$1:$C$1001,,0))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9"/>
        <v>47.55</v>
      </c>
      <c r="N411" t="str">
        <f t="shared" si="21"/>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_xlfn.XLOOKUP(orders!C412,customers!$A$1:$A$1001,customers!$B$1:$B$1001,,0)</f>
        <v>Giordano Lorenzin</v>
      </c>
      <c r="G412" s="2" t="str">
        <f>IF(_xlfn.XLOOKUP(orders!C412,customers!$A$1:$A$1001,customers!$C$1:$C$1001,,0)=0,"",_xlfn.XLOOKUP(orders!C412,customers!$A$1:$A$1001,customers!$C$1:$C$1001,,0))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9"/>
        <v>15.54</v>
      </c>
      <c r="N412" t="str">
        <f t="shared" si="21"/>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_xlfn.XLOOKUP(orders!C413,customers!$A$1:$A$1001,customers!$B$1:$B$1001,,0)</f>
        <v>Harwilll Bishell</v>
      </c>
      <c r="G413" s="2" t="str">
        <f>IF(_xlfn.XLOOKUP(orders!C413,customers!$A$1:$A$1001,customers!$C$1:$C$1001,,0)=0,"",_xlfn.XLOOKUP(orders!C413,customers!$A$1:$A$1001,customers!$C$1:$C$1001,,0))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9"/>
        <v>87.300000000000011</v>
      </c>
      <c r="N413" t="str">
        <f t="shared" si="21"/>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_xlfn.XLOOKUP(orders!C414,customers!$A$1:$A$1001,customers!$B$1:$B$1001,,0)</f>
        <v>Freeland Missenden</v>
      </c>
      <c r="G414" s="2" t="str">
        <f>IF(_xlfn.XLOOKUP(orders!C414,customers!$A$1:$A$1001,customers!$C$1:$C$1001,,0)=0,"",_xlfn.XLOOKUP(orders!C414,customers!$A$1:$A$1001,customers!$C$1:$C$1001,,0))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9"/>
        <v>56.25</v>
      </c>
      <c r="N414" t="str">
        <f t="shared" si="21"/>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_xlfn.XLOOKUP(orders!C415,customers!$A$1:$A$1001,customers!$B$1:$B$1001,,0)</f>
        <v>Waylan Springall</v>
      </c>
      <c r="G415" s="2" t="str">
        <f>IF(_xlfn.XLOOKUP(orders!C415,customers!$A$1:$A$1001,customers!$C$1:$C$1001,,0)=0,"",_xlfn.XLOOKUP(orders!C415,customers!$A$1:$A$1001,customers!$C$1:$C$1001,,0))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9"/>
        <v>36.454999999999998</v>
      </c>
      <c r="N415" t="str">
        <f t="shared" si="21"/>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_xlfn.XLOOKUP(orders!C416,customers!$A$1:$A$1001,customers!$B$1:$B$1001,,0)</f>
        <v>Kiri Avramow</v>
      </c>
      <c r="G416" s="2" t="str">
        <f>IF(_xlfn.XLOOKUP(orders!C416,customers!$A$1:$A$1001,customers!$C$1:$C$1001,,0)=0,"",_xlfn.XLOOKUP(orders!C416,customers!$A$1:$A$1001,customers!$C$1:$C$1001,,0))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9"/>
        <v>10.754999999999999</v>
      </c>
      <c r="N416" t="str">
        <f t="shared" si="21"/>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_xlfn.XLOOKUP(orders!C417,customers!$A$1:$A$1001,customers!$B$1:$B$1001,,0)</f>
        <v>Gregg Hawkyens</v>
      </c>
      <c r="G417" s="2" t="str">
        <f>IF(_xlfn.XLOOKUP(orders!C417,customers!$A$1:$A$1001,customers!$C$1:$C$1001,,0)=0,"",_xlfn.XLOOKUP(orders!C417,customers!$A$1:$A$1001,customers!$C$1:$C$1001,,0))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9"/>
        <v>8.9550000000000001</v>
      </c>
      <c r="N417" t="str">
        <f t="shared" si="21"/>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_xlfn.XLOOKUP(orders!C418,customers!$A$1:$A$1001,customers!$B$1:$B$1001,,0)</f>
        <v>Reggis Pracy</v>
      </c>
      <c r="G418" s="2" t="str">
        <f>IF(_xlfn.XLOOKUP(orders!C418,customers!$A$1:$A$1001,customers!$C$1:$C$1001,,0)=0,"",_xlfn.XLOOKUP(orders!C418,customers!$A$1:$A$1001,customers!$C$1:$C$1001,,0))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9"/>
        <v>23.31</v>
      </c>
      <c r="N418" t="str">
        <f t="shared" si="21"/>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_xlfn.XLOOKUP(orders!C419,customers!$A$1:$A$1001,customers!$B$1:$B$1001,,0)</f>
        <v>Paula Denis</v>
      </c>
      <c r="G419" s="2" t="str">
        <f>IF(_xlfn.XLOOKUP(orders!C419,customers!$A$1:$A$1001,customers!$C$1:$C$1001,,0)=0,"",_xlfn.XLOOKUP(orders!C419,customers!$A$1:$A$1001,customers!$C$1:$C$1001,,0))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9"/>
        <v>29.784999999999997</v>
      </c>
      <c r="N419" t="str">
        <f t="shared" si="21"/>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_xlfn.XLOOKUP(orders!C420,customers!$A$1:$A$1001,customers!$B$1:$B$1001,,0)</f>
        <v>Broderick McGilvra</v>
      </c>
      <c r="G420" s="2" t="str">
        <f>IF(_xlfn.XLOOKUP(orders!C420,customers!$A$1:$A$1001,customers!$C$1:$C$1001,,0)=0,"",_xlfn.XLOOKUP(orders!C420,customers!$A$1:$A$1001,customers!$C$1:$C$1001,,0))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9"/>
        <v>148.92499999999998</v>
      </c>
      <c r="N420" t="str">
        <f t="shared" si="21"/>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_xlfn.XLOOKUP(orders!C421,customers!$A$1:$A$1001,customers!$B$1:$B$1001,,0)</f>
        <v>Annabella Danzey</v>
      </c>
      <c r="G421" s="2" t="str">
        <f>IF(_xlfn.XLOOKUP(orders!C421,customers!$A$1:$A$1001,customers!$C$1:$C$1001,,0)=0,"",_xlfn.XLOOKUP(orders!C421,customers!$A$1:$A$1001,customers!$C$1:$C$1001,,0))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9"/>
        <v>8.73</v>
      </c>
      <c r="N421" t="str">
        <f t="shared" si="21"/>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_xlfn.XLOOKUP(orders!C422,customers!$A$1:$A$1001,customers!$B$1:$B$1001,,0)</f>
        <v>Terri Farra</v>
      </c>
      <c r="G422" s="2" t="str">
        <f>IF(_xlfn.XLOOKUP(orders!C422,customers!$A$1:$A$1001,customers!$C$1:$C$1001,,0)=0,"",_xlfn.XLOOKUP(orders!C422,customers!$A$1:$A$1001,customers!$C$1:$C$1001,,0))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9"/>
        <v>31.08</v>
      </c>
      <c r="N422" t="str">
        <f t="shared" si="21"/>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_xlfn.XLOOKUP(orders!C423,customers!$A$1:$A$1001,customers!$B$1:$B$1001,,0)</f>
        <v>Terri Farra</v>
      </c>
      <c r="G423" s="2" t="str">
        <f>IF(_xlfn.XLOOKUP(orders!C423,customers!$A$1:$A$1001,customers!$C$1:$C$1001,,0)=0,"",_xlfn.XLOOKUP(orders!C423,customers!$A$1:$A$1001,customers!$C$1:$C$1001,,0))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9"/>
        <v>137.31</v>
      </c>
      <c r="N423" t="str">
        <f t="shared" si="21"/>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_xlfn.XLOOKUP(orders!C424,customers!$A$1:$A$1001,customers!$B$1:$B$1001,,0)</f>
        <v>Nevins Glowacz</v>
      </c>
      <c r="G424" s="2" t="str">
        <f>IF(_xlfn.XLOOKUP(orders!C424,customers!$A$1:$A$1001,customers!$C$1:$C$1001,,0)=0,"",_xlfn.XLOOKUP(orders!C424,customers!$A$1:$A$1001,customers!$C$1:$C$1001,,0))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9"/>
        <v>29.849999999999998</v>
      </c>
      <c r="N424" t="str">
        <f t="shared" si="21"/>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_xlfn.XLOOKUP(orders!C425,customers!$A$1:$A$1001,customers!$B$1:$B$1001,,0)</f>
        <v>Adelice Isabell</v>
      </c>
      <c r="G425" s="2" t="str">
        <f>IF(_xlfn.XLOOKUP(orders!C425,customers!$A$1:$A$1001,customers!$C$1:$C$1001,,0)=0,"",_xlfn.XLOOKUP(orders!C425,customers!$A$1:$A$1001,customers!$C$1:$C$1001,,0))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9"/>
        <v>17.91</v>
      </c>
      <c r="N425" t="str">
        <f t="shared" si="21"/>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_xlfn.XLOOKUP(orders!C426,customers!$A$1:$A$1001,customers!$B$1:$B$1001,,0)</f>
        <v>Yulma Dombrell</v>
      </c>
      <c r="G426" s="2" t="str">
        <f>IF(_xlfn.XLOOKUP(orders!C426,customers!$A$1:$A$1001,customers!$C$1:$C$1001,,0)=0,"",_xlfn.XLOOKUP(orders!C426,customers!$A$1:$A$1001,customers!$C$1:$C$1001,,0))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9"/>
        <v>26.73</v>
      </c>
      <c r="N426" t="str">
        <f t="shared" si="21"/>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_xlfn.XLOOKUP(orders!C427,customers!$A$1:$A$1001,customers!$B$1:$B$1001,,0)</f>
        <v>Alric Darth</v>
      </c>
      <c r="G427" s="2" t="str">
        <f>IF(_xlfn.XLOOKUP(orders!C427,customers!$A$1:$A$1001,customers!$C$1:$C$1001,,0)=0,"",_xlfn.XLOOKUP(orders!C427,customers!$A$1:$A$1001,customers!$C$1:$C$1001,,0))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9"/>
        <v>17.899999999999999</v>
      </c>
      <c r="N427" t="str">
        <f t="shared" si="21"/>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_xlfn.XLOOKUP(orders!C428,customers!$A$1:$A$1001,customers!$B$1:$B$1001,,0)</f>
        <v>Manuel Darrigoe</v>
      </c>
      <c r="G428" s="2" t="str">
        <f>IF(_xlfn.XLOOKUP(orders!C428,customers!$A$1:$A$1001,customers!$C$1:$C$1001,,0)=0,"",_xlfn.XLOOKUP(orders!C428,customers!$A$1:$A$1001,customers!$C$1:$C$1001,,0))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9"/>
        <v>14.339999999999998</v>
      </c>
      <c r="N428" t="str">
        <f t="shared" si="21"/>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_xlfn.XLOOKUP(orders!C429,customers!$A$1:$A$1001,customers!$B$1:$B$1001,,0)</f>
        <v>Kynthia Berick</v>
      </c>
      <c r="G429" s="2" t="str">
        <f>IF(_xlfn.XLOOKUP(orders!C429,customers!$A$1:$A$1001,customers!$C$1:$C$1001,,0)=0,"",_xlfn.XLOOKUP(orders!C429,customers!$A$1:$A$1001,customers!$C$1:$C$1001,,0))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9"/>
        <v>77.624999999999986</v>
      </c>
      <c r="N429" t="str">
        <f t="shared" si="21"/>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_xlfn.XLOOKUP(orders!C430,customers!$A$1:$A$1001,customers!$B$1:$B$1001,,0)</f>
        <v>Minetta Ackrill</v>
      </c>
      <c r="G430" s="2" t="str">
        <f>IF(_xlfn.XLOOKUP(orders!C430,customers!$A$1:$A$1001,customers!$C$1:$C$1001,,0)=0,"",_xlfn.XLOOKUP(orders!C430,customers!$A$1:$A$1001,customers!$C$1:$C$1001,,0))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9"/>
        <v>59.75</v>
      </c>
      <c r="N430" t="str">
        <f t="shared" si="21"/>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_xlfn.XLOOKUP(orders!C431,customers!$A$1:$A$1001,customers!$B$1:$B$1001,,0)</f>
        <v>Terri Farra</v>
      </c>
      <c r="G431" s="2" t="str">
        <f>IF(_xlfn.XLOOKUP(orders!C431,customers!$A$1:$A$1001,customers!$C$1:$C$1001,,0)=0,"",_xlfn.XLOOKUP(orders!C431,customers!$A$1:$A$1001,customers!$C$1:$C$1001,,0))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9"/>
        <v>77.699999999999989</v>
      </c>
      <c r="N431" t="str">
        <f t="shared" si="21"/>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_xlfn.XLOOKUP(orders!C432,customers!$A$1:$A$1001,customers!$B$1:$B$1001,,0)</f>
        <v>Melosa Kippen</v>
      </c>
      <c r="G432" s="2" t="str">
        <f>IF(_xlfn.XLOOKUP(orders!C432,customers!$A$1:$A$1001,customers!$C$1:$C$1001,,0)=0,"",_xlfn.XLOOKUP(orders!C432,customers!$A$1:$A$1001,customers!$C$1:$C$1001,,0))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9"/>
        <v>5.3699999999999992</v>
      </c>
      <c r="N432" t="str">
        <f t="shared" si="21"/>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_xlfn.XLOOKUP(orders!C433,customers!$A$1:$A$1001,customers!$B$1:$B$1001,,0)</f>
        <v>Witty Ranson</v>
      </c>
      <c r="G433" s="2" t="str">
        <f>IF(_xlfn.XLOOKUP(orders!C433,customers!$A$1:$A$1001,customers!$C$1:$C$1001,,0)=0,"",_xlfn.XLOOKUP(orders!C433,customers!$A$1:$A$1001,customers!$C$1:$C$1001,,0))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9"/>
        <v>83.835000000000008</v>
      </c>
      <c r="N433" t="str">
        <f t="shared" si="21"/>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_xlfn.XLOOKUP(orders!C434,customers!$A$1:$A$1001,customers!$B$1:$B$1001,,0)</f>
        <v>Rod Gowdie</v>
      </c>
      <c r="G434" s="2" t="str">
        <f>IF(_xlfn.XLOOKUP(orders!C434,customers!$A$1:$A$1001,customers!$C$1:$C$1001,,0)=0,"",_xlfn.XLOOKUP(orders!C434,customers!$A$1:$A$1001,customers!$C$1:$C$1001,,0))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9"/>
        <v>22.5</v>
      </c>
      <c r="N434" t="str">
        <f t="shared" si="21"/>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_xlfn.XLOOKUP(orders!C435,customers!$A$1:$A$1001,customers!$B$1:$B$1001,,0)</f>
        <v>Lemuel Rignold</v>
      </c>
      <c r="G435" s="2" t="str">
        <f>IF(_xlfn.XLOOKUP(orders!C435,customers!$A$1:$A$1001,customers!$C$1:$C$1001,,0)=0,"",_xlfn.XLOOKUP(orders!C435,customers!$A$1:$A$1001,customers!$C$1:$C$1001,,0))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9"/>
        <v>200.78999999999996</v>
      </c>
      <c r="N435" t="str">
        <f t="shared" si="21"/>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_xlfn.XLOOKUP(orders!C436,customers!$A$1:$A$1001,customers!$B$1:$B$1001,,0)</f>
        <v>Nevsa Fields</v>
      </c>
      <c r="G436" s="2" t="str">
        <f>IF(_xlfn.XLOOKUP(orders!C436,customers!$A$1:$A$1001,customers!$C$1:$C$1001,,0)=0,"",_xlfn.XLOOKUP(orders!C436,customers!$A$1:$A$1001,customers!$C$1:$C$1001,,0))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9"/>
        <v>67.5</v>
      </c>
      <c r="N436" t="str">
        <f t="shared" si="21"/>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_xlfn.XLOOKUP(orders!C437,customers!$A$1:$A$1001,customers!$B$1:$B$1001,,0)</f>
        <v>Chance Rowthorn</v>
      </c>
      <c r="G437" s="2" t="str">
        <f>IF(_xlfn.XLOOKUP(orders!C437,customers!$A$1:$A$1001,customers!$C$1:$C$1001,,0)=0,"",_xlfn.XLOOKUP(orders!C437,customers!$A$1:$A$1001,customers!$C$1:$C$1001,,0))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9"/>
        <v>8.25</v>
      </c>
      <c r="N437" t="str">
        <f t="shared" si="21"/>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_xlfn.XLOOKUP(orders!C438,customers!$A$1:$A$1001,customers!$B$1:$B$1001,,0)</f>
        <v>Orly Ryland</v>
      </c>
      <c r="G438" s="2" t="str">
        <f>IF(_xlfn.XLOOKUP(orders!C438,customers!$A$1:$A$1001,customers!$C$1:$C$1001,,0)=0,"",_xlfn.XLOOKUP(orders!C438,customers!$A$1:$A$1001,customers!$C$1:$C$1001,,0))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9"/>
        <v>9.51</v>
      </c>
      <c r="N438" t="str">
        <f t="shared" si="21"/>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_xlfn.XLOOKUP(orders!C439,customers!$A$1:$A$1001,customers!$B$1:$B$1001,,0)</f>
        <v>Willabella Abramski</v>
      </c>
      <c r="G439" s="2" t="str">
        <f>IF(_xlfn.XLOOKUP(orders!C439,customers!$A$1:$A$1001,customers!$C$1:$C$1001,,0)=0,"",_xlfn.XLOOKUP(orders!C439,customers!$A$1:$A$1001,customers!$C$1:$C$1001,,0))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9"/>
        <v>29.784999999999997</v>
      </c>
      <c r="N439" t="str">
        <f t="shared" si="21"/>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_xlfn.XLOOKUP(orders!C440,customers!$A$1:$A$1001,customers!$B$1:$B$1001,,0)</f>
        <v>Morgen Seson</v>
      </c>
      <c r="G440" s="2" t="str">
        <f>IF(_xlfn.XLOOKUP(orders!C440,customers!$A$1:$A$1001,customers!$C$1:$C$1001,,0)=0,"",_xlfn.XLOOKUP(orders!C440,customers!$A$1:$A$1001,customers!$C$1:$C$1001,,0))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9"/>
        <v>15.54</v>
      </c>
      <c r="N440" t="str">
        <f t="shared" si="21"/>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_xlfn.XLOOKUP(orders!C441,customers!$A$1:$A$1001,customers!$B$1:$B$1001,,0)</f>
        <v>Chickie Ragless</v>
      </c>
      <c r="G441" s="2" t="str">
        <f>IF(_xlfn.XLOOKUP(orders!C441,customers!$A$1:$A$1001,customers!$C$1:$C$1001,,0)=0,"",_xlfn.XLOOKUP(orders!C441,customers!$A$1:$A$1001,customers!$C$1:$C$1001,,0))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9"/>
        <v>35.64</v>
      </c>
      <c r="N441" t="str">
        <f t="shared" si="21"/>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_xlfn.XLOOKUP(orders!C442,customers!$A$1:$A$1001,customers!$B$1:$B$1001,,0)</f>
        <v>Freda Hollows</v>
      </c>
      <c r="G442" s="2" t="str">
        <f>IF(_xlfn.XLOOKUP(orders!C442,customers!$A$1:$A$1001,customers!$C$1:$C$1001,,0)=0,"",_xlfn.XLOOKUP(orders!C442,customers!$A$1:$A$1001,customers!$C$1:$C$1001,,0))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9"/>
        <v>103.49999999999999</v>
      </c>
      <c r="N442" t="str">
        <f t="shared" si="21"/>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_xlfn.XLOOKUP(orders!C443,customers!$A$1:$A$1001,customers!$B$1:$B$1001,,0)</f>
        <v>Livy Lathleiff</v>
      </c>
      <c r="G443" s="2" t="str">
        <f>IF(_xlfn.XLOOKUP(orders!C443,customers!$A$1:$A$1001,customers!$C$1:$C$1001,,0)=0,"",_xlfn.XLOOKUP(orders!C443,customers!$A$1:$A$1001,customers!$C$1:$C$1001,,0))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9"/>
        <v>36.450000000000003</v>
      </c>
      <c r="N443" t="str">
        <f t="shared" si="21"/>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_xlfn.XLOOKUP(orders!C444,customers!$A$1:$A$1001,customers!$B$1:$B$1001,,0)</f>
        <v>Koralle Heads</v>
      </c>
      <c r="G444" s="2" t="str">
        <f>IF(_xlfn.XLOOKUP(orders!C444,customers!$A$1:$A$1001,customers!$C$1:$C$1001,,0)=0,"",_xlfn.XLOOKUP(orders!C444,customers!$A$1:$A$1001,customers!$C$1:$C$1001,,0))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9"/>
        <v>35.849999999999994</v>
      </c>
      <c r="N444" t="str">
        <f t="shared" si="21"/>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_xlfn.XLOOKUP(orders!C445,customers!$A$1:$A$1001,customers!$B$1:$B$1001,,0)</f>
        <v>Theo Bowne</v>
      </c>
      <c r="G445" s="2" t="str">
        <f>IF(_xlfn.XLOOKUP(orders!C445,customers!$A$1:$A$1001,customers!$C$1:$C$1001,,0)=0,"",_xlfn.XLOOKUP(orders!C445,customers!$A$1:$A$1001,customers!$C$1:$C$1001,,0))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9"/>
        <v>22.274999999999999</v>
      </c>
      <c r="N445" t="str">
        <f t="shared" si="21"/>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_xlfn.XLOOKUP(orders!C446,customers!$A$1:$A$1001,customers!$B$1:$B$1001,,0)</f>
        <v>Rasia Jacquemard</v>
      </c>
      <c r="G446" s="2" t="str">
        <f>IF(_xlfn.XLOOKUP(orders!C446,customers!$A$1:$A$1001,customers!$C$1:$C$1001,,0)=0,"",_xlfn.XLOOKUP(orders!C446,customers!$A$1:$A$1001,customers!$C$1:$C$1001,,0))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9"/>
        <v>24.75</v>
      </c>
      <c r="N446" t="str">
        <f t="shared" si="21"/>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_xlfn.XLOOKUP(orders!C447,customers!$A$1:$A$1001,customers!$B$1:$B$1001,,0)</f>
        <v>Kizzie Warman</v>
      </c>
      <c r="G447" s="2" t="str">
        <f>IF(_xlfn.XLOOKUP(orders!C447,customers!$A$1:$A$1001,customers!$C$1:$C$1001,,0)=0,"",_xlfn.XLOOKUP(orders!C447,customers!$A$1:$A$1001,customers!$C$1:$C$1001,,0))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9"/>
        <v>66.929999999999993</v>
      </c>
      <c r="N447" t="str">
        <f t="shared" si="21"/>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_xlfn.XLOOKUP(orders!C448,customers!$A$1:$A$1001,customers!$B$1:$B$1001,,0)</f>
        <v>Wain Cholomin</v>
      </c>
      <c r="G448" s="2" t="str">
        <f>IF(_xlfn.XLOOKUP(orders!C448,customers!$A$1:$A$1001,customers!$C$1:$C$1001,,0)=0,"",_xlfn.XLOOKUP(orders!C448,customers!$A$1:$A$1001,customers!$C$1:$C$1001,,0))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9"/>
        <v>8.73</v>
      </c>
      <c r="N448" t="str">
        <f t="shared" si="21"/>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_xlfn.XLOOKUP(orders!C449,customers!$A$1:$A$1001,customers!$B$1:$B$1001,,0)</f>
        <v>Arleen Braidman</v>
      </c>
      <c r="G449" s="2" t="str">
        <f>IF(_xlfn.XLOOKUP(orders!C449,customers!$A$1:$A$1001,customers!$C$1:$C$1001,,0)=0,"",_xlfn.XLOOKUP(orders!C449,customers!$A$1:$A$1001,customers!$C$1:$C$1001,,0))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9"/>
        <v>17.91</v>
      </c>
      <c r="N449" t="str">
        <f t="shared" si="21"/>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_xlfn.XLOOKUP(orders!C450,customers!$A$1:$A$1001,customers!$B$1:$B$1001,,0)</f>
        <v>Pru Durban</v>
      </c>
      <c r="G450" s="2" t="str">
        <f>IF(_xlfn.XLOOKUP(orders!C450,customers!$A$1:$A$1001,customers!$C$1:$C$1001,,0)=0,"",_xlfn.XLOOKUP(orders!C450,customers!$A$1:$A$1001,customers!$C$1:$C$1001,,0))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9"/>
        <v>7.169999999999999</v>
      </c>
      <c r="N450" t="str">
        <f t="shared" si="21"/>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_xlfn.XLOOKUP(orders!C451,customers!$A$1:$A$1001,customers!$B$1:$B$1001,,0)</f>
        <v>Antone Harrold</v>
      </c>
      <c r="G451" s="2" t="str">
        <f>IF(_xlfn.XLOOKUP(orders!C451,customers!$A$1:$A$1001,customers!$C$1:$C$1001,,0)=0,"",_xlfn.XLOOKUP(orders!C451,customers!$A$1:$A$1001,customers!$C$1:$C$1001,,0))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2">L451*E451</f>
        <v>5.3699999999999992</v>
      </c>
      <c r="N451" t="str">
        <f t="shared" si="21"/>
        <v>Robusta</v>
      </c>
      <c r="O451" t="str">
        <f t="shared" ref="O451:O514" si="23">IF(J451="M","Medium",IF(J451= "L", "Light",IF(J451="D", "Dark","")))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_xlfn.XLOOKUP(orders!C452,customers!$A$1:$A$1001,customers!$B$1:$B$1001,,0)</f>
        <v>Sim Pamphilon</v>
      </c>
      <c r="G452" s="2" t="str">
        <f>IF(_xlfn.XLOOKUP(orders!C452,customers!$A$1:$A$1001,customers!$C$1:$C$1001,,0)=0,"",_xlfn.XLOOKUP(orders!C452,customers!$A$1:$A$1001,customers!$C$1:$C$1001,,0))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2"/>
        <v>23.774999999999999</v>
      </c>
      <c r="N452" t="str">
        <f t="shared" si="21"/>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_xlfn.XLOOKUP(orders!C453,customers!$A$1:$A$1001,customers!$B$1:$B$1001,,0)</f>
        <v>Mohandis Spurden</v>
      </c>
      <c r="G453" s="2" t="str">
        <f>IF(_xlfn.XLOOKUP(orders!C453,customers!$A$1:$A$1001,customers!$C$1:$C$1001,,0)=0,"",_xlfn.XLOOKUP(orders!C453,customers!$A$1:$A$1001,customers!$C$1:$C$1001,,0))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2"/>
        <v>41.169999999999995</v>
      </c>
      <c r="N453" t="str">
        <f t="shared" si="21"/>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_xlfn.XLOOKUP(orders!C454,customers!$A$1:$A$1001,customers!$B$1:$B$1001,,0)</f>
        <v>Morgen Seson</v>
      </c>
      <c r="G454" s="2" t="str">
        <f>IF(_xlfn.XLOOKUP(orders!C454,customers!$A$1:$A$1001,customers!$C$1:$C$1001,,0)=0,"",_xlfn.XLOOKUP(orders!C454,customers!$A$1:$A$1001,customers!$C$1:$C$1001,,0))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2"/>
        <v>11.654999999999999</v>
      </c>
      <c r="N454" t="str">
        <f t="shared" si="21"/>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_xlfn.XLOOKUP(orders!C455,customers!$A$1:$A$1001,customers!$B$1:$B$1001,,0)</f>
        <v>Nalani Pirrone</v>
      </c>
      <c r="G455" s="2" t="str">
        <f>IF(_xlfn.XLOOKUP(orders!C455,customers!$A$1:$A$1001,customers!$C$1:$C$1001,,0)=0,"",_xlfn.XLOOKUP(orders!C455,customers!$A$1:$A$1001,customers!$C$1:$C$1001,,0))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2"/>
        <v>38.04</v>
      </c>
      <c r="N455" t="str">
        <f t="shared" si="21"/>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_xlfn.XLOOKUP(orders!C456,customers!$A$1:$A$1001,customers!$B$1:$B$1001,,0)</f>
        <v>Reube Cawley</v>
      </c>
      <c r="G456" s="2" t="str">
        <f>IF(_xlfn.XLOOKUP(orders!C456,customers!$A$1:$A$1001,customers!$C$1:$C$1001,,0)=0,"",_xlfn.XLOOKUP(orders!C456,customers!$A$1:$A$1001,customers!$C$1:$C$1001,,0))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2"/>
        <v>82.339999999999989</v>
      </c>
      <c r="N456" t="str">
        <f t="shared" ref="N456:N519" si="24">IF(I456="Rob","Robusta",IF(I456="Exc","Excelsa",IF(I456="Ara","Arabica",IF(I456="Lib","Liberica"))))</f>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_xlfn.XLOOKUP(orders!C457,customers!$A$1:$A$1001,customers!$B$1:$B$1001,,0)</f>
        <v>Stan Barribal</v>
      </c>
      <c r="G457" s="2" t="str">
        <f>IF(_xlfn.XLOOKUP(orders!C457,customers!$A$1:$A$1001,customers!$C$1:$C$1001,,0)=0,"",_xlfn.XLOOKUP(orders!C457,customers!$A$1:$A$1001,customers!$C$1:$C$1001,,0))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2"/>
        <v>9.51</v>
      </c>
      <c r="N457" t="str">
        <f t="shared" si="24"/>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_xlfn.XLOOKUP(orders!C458,customers!$A$1:$A$1001,customers!$B$1:$B$1001,,0)</f>
        <v>Agnes Adamides</v>
      </c>
      <c r="G458" s="2" t="str">
        <f>IF(_xlfn.XLOOKUP(orders!C458,customers!$A$1:$A$1001,customers!$C$1:$C$1001,,0)=0,"",_xlfn.XLOOKUP(orders!C458,customers!$A$1:$A$1001,customers!$C$1:$C$1001,,0))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2"/>
        <v>41.169999999999995</v>
      </c>
      <c r="N458" t="str">
        <f t="shared" si="24"/>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_xlfn.XLOOKUP(orders!C459,customers!$A$1:$A$1001,customers!$B$1:$B$1001,,0)</f>
        <v>Carmelita Thowes</v>
      </c>
      <c r="G459" s="2" t="str">
        <f>IF(_xlfn.XLOOKUP(orders!C459,customers!$A$1:$A$1001,customers!$C$1:$C$1001,,0)=0,"",_xlfn.XLOOKUP(orders!C459,customers!$A$1:$A$1001,customers!$C$1:$C$1001,,0))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2"/>
        <v>47.55</v>
      </c>
      <c r="N459" t="str">
        <f t="shared" si="24"/>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_xlfn.XLOOKUP(orders!C460,customers!$A$1:$A$1001,customers!$B$1:$B$1001,,0)</f>
        <v>Rodolfo Willoway</v>
      </c>
      <c r="G460" s="2" t="str">
        <f>IF(_xlfn.XLOOKUP(orders!C460,customers!$A$1:$A$1001,customers!$C$1:$C$1001,,0)=0,"",_xlfn.XLOOKUP(orders!C460,customers!$A$1:$A$1001,customers!$C$1:$C$1001,,0))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2"/>
        <v>45</v>
      </c>
      <c r="N460" t="str">
        <f t="shared" si="24"/>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_xlfn.XLOOKUP(orders!C461,customers!$A$1:$A$1001,customers!$B$1:$B$1001,,0)</f>
        <v>Alvis Elwin</v>
      </c>
      <c r="G461" s="2" t="str">
        <f>IF(_xlfn.XLOOKUP(orders!C461,customers!$A$1:$A$1001,customers!$C$1:$C$1001,,0)=0,"",_xlfn.XLOOKUP(orders!C461,customers!$A$1:$A$1001,customers!$C$1:$C$1001,,0))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2"/>
        <v>23.774999999999999</v>
      </c>
      <c r="N461" t="str">
        <f t="shared" si="24"/>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_xlfn.XLOOKUP(orders!C462,customers!$A$1:$A$1001,customers!$B$1:$B$1001,,0)</f>
        <v>Araldo Bilbrook</v>
      </c>
      <c r="G462" s="2" t="str">
        <f>IF(_xlfn.XLOOKUP(orders!C462,customers!$A$1:$A$1001,customers!$C$1:$C$1001,,0)=0,"",_xlfn.XLOOKUP(orders!C462,customers!$A$1:$A$1001,customers!$C$1:$C$1001,,0))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2"/>
        <v>16.11</v>
      </c>
      <c r="N462" t="str">
        <f t="shared" si="24"/>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_xlfn.XLOOKUP(orders!C463,customers!$A$1:$A$1001,customers!$B$1:$B$1001,,0)</f>
        <v>Ransell McKall</v>
      </c>
      <c r="G463" s="2" t="str">
        <f>IF(_xlfn.XLOOKUP(orders!C463,customers!$A$1:$A$1001,customers!$C$1:$C$1001,,0)=0,"",_xlfn.XLOOKUP(orders!C463,customers!$A$1:$A$1001,customers!$C$1:$C$1001,,0))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2"/>
        <v>10.739999999999998</v>
      </c>
      <c r="N463" t="str">
        <f t="shared" si="24"/>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_xlfn.XLOOKUP(orders!C464,customers!$A$1:$A$1001,customers!$B$1:$B$1001,,0)</f>
        <v>Borg Daile</v>
      </c>
      <c r="G464" s="2" t="str">
        <f>IF(_xlfn.XLOOKUP(orders!C464,customers!$A$1:$A$1001,customers!$C$1:$C$1001,,0)=0,"",_xlfn.XLOOKUP(orders!C464,customers!$A$1:$A$1001,customers!$C$1:$C$1001,,0))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2"/>
        <v>49.75</v>
      </c>
      <c r="N464" t="str">
        <f t="shared" si="24"/>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_xlfn.XLOOKUP(orders!C465,customers!$A$1:$A$1001,customers!$B$1:$B$1001,,0)</f>
        <v>Adolphe Treherne</v>
      </c>
      <c r="G465" s="2" t="str">
        <f>IF(_xlfn.XLOOKUP(orders!C465,customers!$A$1:$A$1001,customers!$C$1:$C$1001,,0)=0,"",_xlfn.XLOOKUP(orders!C465,customers!$A$1:$A$1001,customers!$C$1:$C$1001,,0))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2"/>
        <v>27.5</v>
      </c>
      <c r="N465" t="str">
        <f t="shared" si="24"/>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_xlfn.XLOOKUP(orders!C466,customers!$A$1:$A$1001,customers!$B$1:$B$1001,,0)</f>
        <v>Annetta Brentnall</v>
      </c>
      <c r="G466" s="2" t="str">
        <f>IF(_xlfn.XLOOKUP(orders!C466,customers!$A$1:$A$1001,customers!$C$1:$C$1001,,0)=0,"",_xlfn.XLOOKUP(orders!C466,customers!$A$1:$A$1001,customers!$C$1:$C$1001,,0))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2"/>
        <v>119.13999999999999</v>
      </c>
      <c r="N466" t="str">
        <f t="shared" si="24"/>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_xlfn.XLOOKUP(orders!C467,customers!$A$1:$A$1001,customers!$B$1:$B$1001,,0)</f>
        <v>Dick Drinkall</v>
      </c>
      <c r="G467" s="2" t="str">
        <f>IF(_xlfn.XLOOKUP(orders!C467,customers!$A$1:$A$1001,customers!$C$1:$C$1001,,0)=0,"",_xlfn.XLOOKUP(orders!C467,customers!$A$1:$A$1001,customers!$C$1:$C$1001,,0))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2"/>
        <v>20.584999999999997</v>
      </c>
      <c r="N467" t="str">
        <f t="shared" si="24"/>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_xlfn.XLOOKUP(orders!C468,customers!$A$1:$A$1001,customers!$B$1:$B$1001,,0)</f>
        <v>Dagny Kornel</v>
      </c>
      <c r="G468" s="2" t="str">
        <f>IF(_xlfn.XLOOKUP(orders!C468,customers!$A$1:$A$1001,customers!$C$1:$C$1001,,0)=0,"",_xlfn.XLOOKUP(orders!C468,customers!$A$1:$A$1001,customers!$C$1:$C$1001,,0))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2"/>
        <v>8.9550000000000001</v>
      </c>
      <c r="N468" t="str">
        <f t="shared" si="24"/>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_xlfn.XLOOKUP(orders!C469,customers!$A$1:$A$1001,customers!$B$1:$B$1001,,0)</f>
        <v>Rhona Lequeux</v>
      </c>
      <c r="G469" s="2" t="str">
        <f>IF(_xlfn.XLOOKUP(orders!C469,customers!$A$1:$A$1001,customers!$C$1:$C$1001,,0)=0,"",_xlfn.XLOOKUP(orders!C469,customers!$A$1:$A$1001,customers!$C$1:$C$1001,,0))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2"/>
        <v>5.97</v>
      </c>
      <c r="N469" t="str">
        <f t="shared" si="24"/>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_xlfn.XLOOKUP(orders!C470,customers!$A$1:$A$1001,customers!$B$1:$B$1001,,0)</f>
        <v>Julius Mccaull</v>
      </c>
      <c r="G470" s="2" t="str">
        <f>IF(_xlfn.XLOOKUP(orders!C470,customers!$A$1:$A$1001,customers!$C$1:$C$1001,,0)=0,"",_xlfn.XLOOKUP(orders!C470,customers!$A$1:$A$1001,customers!$C$1:$C$1001,,0))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2"/>
        <v>41.25</v>
      </c>
      <c r="N470" t="str">
        <f t="shared" si="24"/>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_xlfn.XLOOKUP(orders!C471,customers!$A$1:$A$1001,customers!$B$1:$B$1001,,0)</f>
        <v>Ailey Brash</v>
      </c>
      <c r="G471" s="2" t="str">
        <f>IF(_xlfn.XLOOKUP(orders!C471,customers!$A$1:$A$1001,customers!$C$1:$C$1001,,0)=0,"",_xlfn.XLOOKUP(orders!C471,customers!$A$1:$A$1001,customers!$C$1:$C$1001,,0))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2"/>
        <v>22.274999999999999</v>
      </c>
      <c r="N471" t="str">
        <f t="shared" si="24"/>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_xlfn.XLOOKUP(orders!C472,customers!$A$1:$A$1001,customers!$B$1:$B$1001,,0)</f>
        <v>Alberto Hutchinson</v>
      </c>
      <c r="G472" s="2" t="str">
        <f>IF(_xlfn.XLOOKUP(orders!C472,customers!$A$1:$A$1001,customers!$C$1:$C$1001,,0)=0,"",_xlfn.XLOOKUP(orders!C472,customers!$A$1:$A$1001,customers!$C$1:$C$1001,,0))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2"/>
        <v>6.75</v>
      </c>
      <c r="N472" t="str">
        <f t="shared" si="24"/>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_xlfn.XLOOKUP(orders!C473,customers!$A$1:$A$1001,customers!$B$1:$B$1001,,0)</f>
        <v>Lamond Gheeraert</v>
      </c>
      <c r="G473" s="2" t="str">
        <f>IF(_xlfn.XLOOKUP(orders!C473,customers!$A$1:$A$1001,customers!$C$1:$C$1001,,0)=0,"",_xlfn.XLOOKUP(orders!C473,customers!$A$1:$A$1001,customers!$C$1:$C$1001,,0))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2"/>
        <v>133.85999999999999</v>
      </c>
      <c r="N473" t="str">
        <f t="shared" si="24"/>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_xlfn.XLOOKUP(orders!C474,customers!$A$1:$A$1001,customers!$B$1:$B$1001,,0)</f>
        <v>Roxine Drivers</v>
      </c>
      <c r="G474" s="2" t="str">
        <f>IF(_xlfn.XLOOKUP(orders!C474,customers!$A$1:$A$1001,customers!$C$1:$C$1001,,0)=0,"",_xlfn.XLOOKUP(orders!C474,customers!$A$1:$A$1001,customers!$C$1:$C$1001,,0))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2"/>
        <v>5.97</v>
      </c>
      <c r="N474" t="str">
        <f t="shared" si="24"/>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_xlfn.XLOOKUP(orders!C475,customers!$A$1:$A$1001,customers!$B$1:$B$1001,,0)</f>
        <v>Heloise Zeal</v>
      </c>
      <c r="G475" s="2" t="str">
        <f>IF(_xlfn.XLOOKUP(orders!C475,customers!$A$1:$A$1001,customers!$C$1:$C$1001,,0)=0,"",_xlfn.XLOOKUP(orders!C475,customers!$A$1:$A$1001,customers!$C$1:$C$1001,,0))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2"/>
        <v>25.9</v>
      </c>
      <c r="N475" t="str">
        <f t="shared" si="24"/>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_xlfn.XLOOKUP(orders!C476,customers!$A$1:$A$1001,customers!$B$1:$B$1001,,0)</f>
        <v>Granger Smallcombe</v>
      </c>
      <c r="G476" s="2" t="str">
        <f>IF(_xlfn.XLOOKUP(orders!C476,customers!$A$1:$A$1001,customers!$C$1:$C$1001,,0)=0,"",_xlfn.XLOOKUP(orders!C476,customers!$A$1:$A$1001,customers!$C$1:$C$1001,,0))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2"/>
        <v>31.624999999999996</v>
      </c>
      <c r="N476" t="str">
        <f t="shared" si="24"/>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_xlfn.XLOOKUP(orders!C477,customers!$A$1:$A$1001,customers!$B$1:$B$1001,,0)</f>
        <v>Daryn Dibley</v>
      </c>
      <c r="G477" s="2" t="str">
        <f>IF(_xlfn.XLOOKUP(orders!C477,customers!$A$1:$A$1001,customers!$C$1:$C$1001,,0)=0,"",_xlfn.XLOOKUP(orders!C477,customers!$A$1:$A$1001,customers!$C$1:$C$1001,,0))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2"/>
        <v>8.73</v>
      </c>
      <c r="N477" t="str">
        <f t="shared" si="24"/>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_xlfn.XLOOKUP(orders!C478,customers!$A$1:$A$1001,customers!$B$1:$B$1001,,0)</f>
        <v>Gardy Dimitriou</v>
      </c>
      <c r="G478" s="2" t="str">
        <f>IF(_xlfn.XLOOKUP(orders!C478,customers!$A$1:$A$1001,customers!$C$1:$C$1001,,0)=0,"",_xlfn.XLOOKUP(orders!C478,customers!$A$1:$A$1001,customers!$C$1:$C$1001,,0))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2"/>
        <v>26.73</v>
      </c>
      <c r="N478" t="str">
        <f t="shared" si="24"/>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_xlfn.XLOOKUP(orders!C479,customers!$A$1:$A$1001,customers!$B$1:$B$1001,,0)</f>
        <v>Fanny Flanagan</v>
      </c>
      <c r="G479" s="2" t="str">
        <f>IF(_xlfn.XLOOKUP(orders!C479,customers!$A$1:$A$1001,customers!$C$1:$C$1001,,0)=0,"",_xlfn.XLOOKUP(orders!C479,customers!$A$1:$A$1001,customers!$C$1:$C$1001,,0))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2"/>
        <v>26.19</v>
      </c>
      <c r="N479" t="str">
        <f t="shared" si="24"/>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_xlfn.XLOOKUP(orders!C480,customers!$A$1:$A$1001,customers!$B$1:$B$1001,,0)</f>
        <v>Ailey Brash</v>
      </c>
      <c r="G480" s="2" t="str">
        <f>IF(_xlfn.XLOOKUP(orders!C480,customers!$A$1:$A$1001,customers!$C$1:$C$1001,,0)=0,"",_xlfn.XLOOKUP(orders!C480,customers!$A$1:$A$1001,customers!$C$1:$C$1001,,0))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2"/>
        <v>53.699999999999996</v>
      </c>
      <c r="N480" t="str">
        <f t="shared" si="24"/>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_xlfn.XLOOKUP(orders!C481,customers!$A$1:$A$1001,customers!$B$1:$B$1001,,0)</f>
        <v>Ailey Brash</v>
      </c>
      <c r="G481" s="2" t="str">
        <f>IF(_xlfn.XLOOKUP(orders!C481,customers!$A$1:$A$1001,customers!$C$1:$C$1001,,0)=0,"",_xlfn.XLOOKUP(orders!C481,customers!$A$1:$A$1001,customers!$C$1:$C$1001,,0))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2"/>
        <v>126.49999999999999</v>
      </c>
      <c r="N481" t="str">
        <f t="shared" si="24"/>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_xlfn.XLOOKUP(orders!C482,customers!$A$1:$A$1001,customers!$B$1:$B$1001,,0)</f>
        <v>Ailey Brash</v>
      </c>
      <c r="G482" s="2" t="str">
        <f>IF(_xlfn.XLOOKUP(orders!C482,customers!$A$1:$A$1001,customers!$C$1:$C$1001,,0)=0,"",_xlfn.XLOOKUP(orders!C482,customers!$A$1:$A$1001,customers!$C$1:$C$1001,,0))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2"/>
        <v>4.125</v>
      </c>
      <c r="N482" t="str">
        <f t="shared" si="24"/>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_xlfn.XLOOKUP(orders!C483,customers!$A$1:$A$1001,customers!$B$1:$B$1001,,0)</f>
        <v>Nanny Izhakov</v>
      </c>
      <c r="G483" s="2" t="str">
        <f>IF(_xlfn.XLOOKUP(orders!C483,customers!$A$1:$A$1001,customers!$C$1:$C$1001,,0)=0,"",_xlfn.XLOOKUP(orders!C483,customers!$A$1:$A$1001,customers!$C$1:$C$1001,,0))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2"/>
        <v>23.9</v>
      </c>
      <c r="N483" t="str">
        <f t="shared" si="24"/>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_xlfn.XLOOKUP(orders!C484,customers!$A$1:$A$1001,customers!$B$1:$B$1001,,0)</f>
        <v>Stanly Keets</v>
      </c>
      <c r="G484" s="2" t="str">
        <f>IF(_xlfn.XLOOKUP(orders!C484,customers!$A$1:$A$1001,customers!$C$1:$C$1001,,0)=0,"",_xlfn.XLOOKUP(orders!C484,customers!$A$1:$A$1001,customers!$C$1:$C$1001,,0))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2"/>
        <v>139.72499999999999</v>
      </c>
      <c r="N484" t="str">
        <f t="shared" si="24"/>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_xlfn.XLOOKUP(orders!C485,customers!$A$1:$A$1001,customers!$B$1:$B$1001,,0)</f>
        <v>Orion Dyott</v>
      </c>
      <c r="G485" s="2" t="str">
        <f>IF(_xlfn.XLOOKUP(orders!C485,customers!$A$1:$A$1001,customers!$C$1:$C$1001,,0)=0,"",_xlfn.XLOOKUP(orders!C485,customers!$A$1:$A$1001,customers!$C$1:$C$1001,,0))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2"/>
        <v>59.569999999999993</v>
      </c>
      <c r="N485" t="str">
        <f t="shared" si="24"/>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_xlfn.XLOOKUP(orders!C486,customers!$A$1:$A$1001,customers!$B$1:$B$1001,,0)</f>
        <v>Keefer Cake</v>
      </c>
      <c r="G486" s="2" t="str">
        <f>IF(_xlfn.XLOOKUP(orders!C486,customers!$A$1:$A$1001,customers!$C$1:$C$1001,,0)=0,"",_xlfn.XLOOKUP(orders!C486,customers!$A$1:$A$1001,customers!$C$1:$C$1001,,0))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2"/>
        <v>57.06</v>
      </c>
      <c r="N486" t="str">
        <f t="shared" si="24"/>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_xlfn.XLOOKUP(orders!C487,customers!$A$1:$A$1001,customers!$B$1:$B$1001,,0)</f>
        <v>Morna Hansed</v>
      </c>
      <c r="G487" s="2" t="str">
        <f>IF(_xlfn.XLOOKUP(orders!C487,customers!$A$1:$A$1001,customers!$C$1:$C$1001,,0)=0,"",_xlfn.XLOOKUP(orders!C487,customers!$A$1:$A$1001,customers!$C$1:$C$1001,,0))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2"/>
        <v>21.509999999999998</v>
      </c>
      <c r="N487" t="str">
        <f t="shared" si="24"/>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_xlfn.XLOOKUP(orders!C488,customers!$A$1:$A$1001,customers!$B$1:$B$1001,,0)</f>
        <v>Franny Kienlein</v>
      </c>
      <c r="G488" s="2" t="str">
        <f>IF(_xlfn.XLOOKUP(orders!C488,customers!$A$1:$A$1001,customers!$C$1:$C$1001,,0)=0,"",_xlfn.XLOOKUP(orders!C488,customers!$A$1:$A$1001,customers!$C$1:$C$1001,,0))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2"/>
        <v>52.38</v>
      </c>
      <c r="N488" t="str">
        <f t="shared" si="24"/>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_xlfn.XLOOKUP(orders!C489,customers!$A$1:$A$1001,customers!$B$1:$B$1001,,0)</f>
        <v>Klarika Egglestone</v>
      </c>
      <c r="G489" s="2" t="str">
        <f>IF(_xlfn.XLOOKUP(orders!C489,customers!$A$1:$A$1001,customers!$C$1:$C$1001,,0)=0,"",_xlfn.XLOOKUP(orders!C489,customers!$A$1:$A$1001,customers!$C$1:$C$1001,,0))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2"/>
        <v>72.900000000000006</v>
      </c>
      <c r="N489" t="str">
        <f t="shared" si="24"/>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_xlfn.XLOOKUP(orders!C490,customers!$A$1:$A$1001,customers!$B$1:$B$1001,,0)</f>
        <v>Becky Semkins</v>
      </c>
      <c r="G490" s="2" t="str">
        <f>IF(_xlfn.XLOOKUP(orders!C490,customers!$A$1:$A$1001,customers!$C$1:$C$1001,,0)=0,"",_xlfn.XLOOKUP(orders!C490,customers!$A$1:$A$1001,customers!$C$1:$C$1001,,0))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2"/>
        <v>14.924999999999999</v>
      </c>
      <c r="N490" t="str">
        <f t="shared" si="24"/>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_xlfn.XLOOKUP(orders!C491,customers!$A$1:$A$1001,customers!$B$1:$B$1001,,0)</f>
        <v>Sean Lorenzetti</v>
      </c>
      <c r="G491" s="2" t="str">
        <f>IF(_xlfn.XLOOKUP(orders!C491,customers!$A$1:$A$1001,customers!$C$1:$C$1001,,0)=0,"",_xlfn.XLOOKUP(orders!C491,customers!$A$1:$A$1001,customers!$C$1:$C$1001,,0))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2"/>
        <v>95.1</v>
      </c>
      <c r="N491" t="str">
        <f t="shared" si="24"/>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_xlfn.XLOOKUP(orders!C492,customers!$A$1:$A$1001,customers!$B$1:$B$1001,,0)</f>
        <v>Bob Giannazzi</v>
      </c>
      <c r="G492" s="2" t="str">
        <f>IF(_xlfn.XLOOKUP(orders!C492,customers!$A$1:$A$1001,customers!$C$1:$C$1001,,0)=0,"",_xlfn.XLOOKUP(orders!C492,customers!$A$1:$A$1001,customers!$C$1:$C$1001,,0))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2"/>
        <v>15.54</v>
      </c>
      <c r="N492" t="str">
        <f t="shared" si="24"/>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_xlfn.XLOOKUP(orders!C493,customers!$A$1:$A$1001,customers!$B$1:$B$1001,,0)</f>
        <v>Kendra Backshell</v>
      </c>
      <c r="G493" s="2" t="str">
        <f>IF(_xlfn.XLOOKUP(orders!C493,customers!$A$1:$A$1001,customers!$C$1:$C$1001,,0)=0,"",_xlfn.XLOOKUP(orders!C493,customers!$A$1:$A$1001,customers!$C$1:$C$1001,,0))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2"/>
        <v>23.31</v>
      </c>
      <c r="N493" t="str">
        <f t="shared" si="24"/>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_xlfn.XLOOKUP(orders!C494,customers!$A$1:$A$1001,customers!$B$1:$B$1001,,0)</f>
        <v>Uriah Lethbrig</v>
      </c>
      <c r="G494" s="2" t="str">
        <f>IF(_xlfn.XLOOKUP(orders!C494,customers!$A$1:$A$1001,customers!$C$1:$C$1001,,0)=0,"",_xlfn.XLOOKUP(orders!C494,customers!$A$1:$A$1001,customers!$C$1:$C$1001,,0))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2"/>
        <v>4.125</v>
      </c>
      <c r="N494" t="str">
        <f t="shared" si="24"/>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_xlfn.XLOOKUP(orders!C495,customers!$A$1:$A$1001,customers!$B$1:$B$1001,,0)</f>
        <v>Sky Farnish</v>
      </c>
      <c r="G495" s="2" t="str">
        <f>IF(_xlfn.XLOOKUP(orders!C495,customers!$A$1:$A$1001,customers!$C$1:$C$1001,,0)=0,"",_xlfn.XLOOKUP(orders!C495,customers!$A$1:$A$1001,customers!$C$1:$C$1001,,0))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2"/>
        <v>35.82</v>
      </c>
      <c r="N495" t="str">
        <f t="shared" si="24"/>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_xlfn.XLOOKUP(orders!C496,customers!$A$1:$A$1001,customers!$B$1:$B$1001,,0)</f>
        <v>Felicia Jecock</v>
      </c>
      <c r="G496" s="2" t="str">
        <f>IF(_xlfn.XLOOKUP(orders!C496,customers!$A$1:$A$1001,customers!$C$1:$C$1001,,0)=0,"",_xlfn.XLOOKUP(orders!C496,customers!$A$1:$A$1001,customers!$C$1:$C$1001,,0))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2"/>
        <v>31.7</v>
      </c>
      <c r="N496" t="str">
        <f t="shared" si="24"/>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_xlfn.XLOOKUP(orders!C497,customers!$A$1:$A$1001,customers!$B$1:$B$1001,,0)</f>
        <v>Currey MacAllister</v>
      </c>
      <c r="G497" s="2" t="str">
        <f>IF(_xlfn.XLOOKUP(orders!C497,customers!$A$1:$A$1001,customers!$C$1:$C$1001,,0)=0,"",_xlfn.XLOOKUP(orders!C497,customers!$A$1:$A$1001,customers!$C$1:$C$1001,,0))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2"/>
        <v>79.25</v>
      </c>
      <c r="N497" t="str">
        <f t="shared" si="24"/>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_xlfn.XLOOKUP(orders!C498,customers!$A$1:$A$1001,customers!$B$1:$B$1001,,0)</f>
        <v>Hamlen Pallister</v>
      </c>
      <c r="G498" s="2" t="str">
        <f>IF(_xlfn.XLOOKUP(orders!C498,customers!$A$1:$A$1001,customers!$C$1:$C$1001,,0)=0,"",_xlfn.XLOOKUP(orders!C498,customers!$A$1:$A$1001,customers!$C$1:$C$1001,,0))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2"/>
        <v>10.935</v>
      </c>
      <c r="N498" t="str">
        <f t="shared" si="24"/>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_xlfn.XLOOKUP(orders!C499,customers!$A$1:$A$1001,customers!$B$1:$B$1001,,0)</f>
        <v>Chantal Mersh</v>
      </c>
      <c r="G499" s="2" t="str">
        <f>IF(_xlfn.XLOOKUP(orders!C499,customers!$A$1:$A$1001,customers!$C$1:$C$1001,,0)=0,"",_xlfn.XLOOKUP(orders!C499,customers!$A$1:$A$1001,customers!$C$1:$C$1001,,0))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2"/>
        <v>39.799999999999997</v>
      </c>
      <c r="N499" t="str">
        <f t="shared" si="24"/>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_xlfn.XLOOKUP(orders!C500,customers!$A$1:$A$1001,customers!$B$1:$B$1001,,0)</f>
        <v>Marja Urion</v>
      </c>
      <c r="G500" s="2" t="str">
        <f>IF(_xlfn.XLOOKUP(orders!C500,customers!$A$1:$A$1001,customers!$C$1:$C$1001,,0)=0,"",_xlfn.XLOOKUP(orders!C500,customers!$A$1:$A$1001,customers!$C$1:$C$1001,,0))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2"/>
        <v>49.75</v>
      </c>
      <c r="N500" t="str">
        <f t="shared" si="24"/>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_xlfn.XLOOKUP(orders!C501,customers!$A$1:$A$1001,customers!$B$1:$B$1001,,0)</f>
        <v>Malynda Purbrick</v>
      </c>
      <c r="G501" s="2" t="str">
        <f>IF(_xlfn.XLOOKUP(orders!C501,customers!$A$1:$A$1001,customers!$C$1:$C$1001,,0)=0,"",_xlfn.XLOOKUP(orders!C501,customers!$A$1:$A$1001,customers!$C$1:$C$1001,,0))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2"/>
        <v>8.0549999999999997</v>
      </c>
      <c r="N501" t="str">
        <f t="shared" si="24"/>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_xlfn.XLOOKUP(orders!C502,customers!$A$1:$A$1001,customers!$B$1:$B$1001,,0)</f>
        <v>Alf Housaman</v>
      </c>
      <c r="G502" s="2" t="str">
        <f>IF(_xlfn.XLOOKUP(orders!C502,customers!$A$1:$A$1001,customers!$C$1:$C$1001,,0)=0,"",_xlfn.XLOOKUP(orders!C502,customers!$A$1:$A$1001,customers!$C$1:$C$1001,,0))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2"/>
        <v>47.8</v>
      </c>
      <c r="N502" t="str">
        <f t="shared" si="24"/>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_xlfn.XLOOKUP(orders!C503,customers!$A$1:$A$1001,customers!$B$1:$B$1001,,0)</f>
        <v>Gladi Ducker</v>
      </c>
      <c r="G503" s="2" t="str">
        <f>IF(_xlfn.XLOOKUP(orders!C503,customers!$A$1:$A$1001,customers!$C$1:$C$1001,,0)=0,"",_xlfn.XLOOKUP(orders!C503,customers!$A$1:$A$1001,customers!$C$1:$C$1001,,0))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2"/>
        <v>11.94</v>
      </c>
      <c r="N503" t="str">
        <f t="shared" si="24"/>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_xlfn.XLOOKUP(orders!C504,customers!$A$1:$A$1001,customers!$B$1:$B$1001,,0)</f>
        <v>Gladi Ducker</v>
      </c>
      <c r="G504" s="2" t="str">
        <f>IF(_xlfn.XLOOKUP(orders!C504,customers!$A$1:$A$1001,customers!$C$1:$C$1001,,0)=0,"",_xlfn.XLOOKUP(orders!C504,customers!$A$1:$A$1001,customers!$C$1:$C$1001,,0))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2"/>
        <v>16.5</v>
      </c>
      <c r="N504" t="str">
        <f t="shared" si="24"/>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_xlfn.XLOOKUP(orders!C505,customers!$A$1:$A$1001,customers!$B$1:$B$1001,,0)</f>
        <v>Gladi Ducker</v>
      </c>
      <c r="G505" s="2" t="str">
        <f>IF(_xlfn.XLOOKUP(orders!C505,customers!$A$1:$A$1001,customers!$C$1:$C$1001,,0)=0,"",_xlfn.XLOOKUP(orders!C505,customers!$A$1:$A$1001,customers!$C$1:$C$1001,,0))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2"/>
        <v>51.8</v>
      </c>
      <c r="N505" t="str">
        <f t="shared" si="24"/>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_xlfn.XLOOKUP(orders!C506,customers!$A$1:$A$1001,customers!$B$1:$B$1001,,0)</f>
        <v>Gladi Ducker</v>
      </c>
      <c r="G506" s="2" t="str">
        <f>IF(_xlfn.XLOOKUP(orders!C506,customers!$A$1:$A$1001,customers!$C$1:$C$1001,,0)=0,"",_xlfn.XLOOKUP(orders!C506,customers!$A$1:$A$1001,customers!$C$1:$C$1001,,0))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2"/>
        <v>14.265000000000001</v>
      </c>
      <c r="N506" t="str">
        <f t="shared" si="24"/>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_xlfn.XLOOKUP(orders!C507,customers!$A$1:$A$1001,customers!$B$1:$B$1001,,0)</f>
        <v>Wain Stearley</v>
      </c>
      <c r="G507" s="2" t="str">
        <f>IF(_xlfn.XLOOKUP(orders!C507,customers!$A$1:$A$1001,customers!$C$1:$C$1001,,0)=0,"",_xlfn.XLOOKUP(orders!C507,customers!$A$1:$A$1001,customers!$C$1:$C$1001,,0))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2"/>
        <v>26.19</v>
      </c>
      <c r="N507" t="str">
        <f t="shared" si="24"/>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_xlfn.XLOOKUP(orders!C508,customers!$A$1:$A$1001,customers!$B$1:$B$1001,,0)</f>
        <v>Diane-marie Wincer</v>
      </c>
      <c r="G508" s="2" t="str">
        <f>IF(_xlfn.XLOOKUP(orders!C508,customers!$A$1:$A$1001,customers!$C$1:$C$1001,,0)=0,"",_xlfn.XLOOKUP(orders!C508,customers!$A$1:$A$1001,customers!$C$1:$C$1001,,0))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2"/>
        <v>25.9</v>
      </c>
      <c r="N508" t="str">
        <f t="shared" si="24"/>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_xlfn.XLOOKUP(orders!C509,customers!$A$1:$A$1001,customers!$B$1:$B$1001,,0)</f>
        <v>Perry Lyfield</v>
      </c>
      <c r="G509" s="2" t="str">
        <f>IF(_xlfn.XLOOKUP(orders!C509,customers!$A$1:$A$1001,customers!$C$1:$C$1001,,0)=0,"",_xlfn.XLOOKUP(orders!C509,customers!$A$1:$A$1001,customers!$C$1:$C$1001,,0))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2"/>
        <v>89.35499999999999</v>
      </c>
      <c r="N509" t="str">
        <f t="shared" si="24"/>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_xlfn.XLOOKUP(orders!C510,customers!$A$1:$A$1001,customers!$B$1:$B$1001,,0)</f>
        <v>Heall Perris</v>
      </c>
      <c r="G510" s="2" t="str">
        <f>IF(_xlfn.XLOOKUP(orders!C510,customers!$A$1:$A$1001,customers!$C$1:$C$1001,,0)=0,"",_xlfn.XLOOKUP(orders!C510,customers!$A$1:$A$1001,customers!$C$1:$C$1001,,0))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2"/>
        <v>46.62</v>
      </c>
      <c r="N510" t="str">
        <f t="shared" si="24"/>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_xlfn.XLOOKUP(orders!C511,customers!$A$1:$A$1001,customers!$B$1:$B$1001,,0)</f>
        <v>Marja Urion</v>
      </c>
      <c r="G511" s="2" t="str">
        <f>IF(_xlfn.XLOOKUP(orders!C511,customers!$A$1:$A$1001,customers!$C$1:$C$1001,,0)=0,"",_xlfn.XLOOKUP(orders!C511,customers!$A$1:$A$1001,customers!$C$1:$C$1001,,0))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2"/>
        <v>29.849999999999998</v>
      </c>
      <c r="N511" t="str">
        <f t="shared" si="24"/>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_xlfn.XLOOKUP(orders!C512,customers!$A$1:$A$1001,customers!$B$1:$B$1001,,0)</f>
        <v>Camellia Kid</v>
      </c>
      <c r="G512" s="2" t="str">
        <f>IF(_xlfn.XLOOKUP(orders!C512,customers!$A$1:$A$1001,customers!$C$1:$C$1001,,0)=0,"",_xlfn.XLOOKUP(orders!C512,customers!$A$1:$A$1001,customers!$C$1:$C$1001,,0))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2"/>
        <v>10.754999999999999</v>
      </c>
      <c r="N512" t="str">
        <f t="shared" si="24"/>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_xlfn.XLOOKUP(orders!C513,customers!$A$1:$A$1001,customers!$B$1:$B$1001,,0)</f>
        <v>Carolann Beine</v>
      </c>
      <c r="G513" s="2" t="str">
        <f>IF(_xlfn.XLOOKUP(orders!C513,customers!$A$1:$A$1001,customers!$C$1:$C$1001,,0)=0,"",_xlfn.XLOOKUP(orders!C513,customers!$A$1:$A$1001,customers!$C$1:$C$1001,,0))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2"/>
        <v>13.5</v>
      </c>
      <c r="N513" t="str">
        <f t="shared" si="24"/>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_xlfn.XLOOKUP(orders!C514,customers!$A$1:$A$1001,customers!$B$1:$B$1001,,0)</f>
        <v>Celia Bakeup</v>
      </c>
      <c r="G514" s="2" t="str">
        <f>IF(_xlfn.XLOOKUP(orders!C514,customers!$A$1:$A$1001,customers!$C$1:$C$1001,,0)=0,"",_xlfn.XLOOKUP(orders!C514,customers!$A$1:$A$1001,customers!$C$1:$C$1001,,0))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2"/>
        <v>47.55</v>
      </c>
      <c r="N514" t="str">
        <f t="shared" si="24"/>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_xlfn.XLOOKUP(orders!C515,customers!$A$1:$A$1001,customers!$B$1:$B$1001,,0)</f>
        <v>Nataniel Helkin</v>
      </c>
      <c r="G515" s="2" t="str">
        <f>IF(_xlfn.XLOOKUP(orders!C515,customers!$A$1:$A$1001,customers!$C$1:$C$1001,,0)=0,"",_xlfn.XLOOKUP(orders!C515,customers!$A$1:$A$1001,customers!$C$1:$C$1001,,0))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5">L515*E515</f>
        <v>79.25</v>
      </c>
      <c r="N515" t="str">
        <f t="shared" si="24"/>
        <v>Liberica</v>
      </c>
      <c r="O515" t="str">
        <f t="shared" ref="O515:O578" si="26">IF(J515="M","Medium",IF(J515= "L", "Light",IF(J515="D", "Dark","")))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_xlfn.XLOOKUP(orders!C516,customers!$A$1:$A$1001,customers!$B$1:$B$1001,,0)</f>
        <v>Pippo Witherington</v>
      </c>
      <c r="G516" s="2" t="str">
        <f>IF(_xlfn.XLOOKUP(orders!C516,customers!$A$1:$A$1001,customers!$C$1:$C$1001,,0)=0,"",_xlfn.XLOOKUP(orders!C516,customers!$A$1:$A$1001,customers!$C$1:$C$1001,,0))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5"/>
        <v>26.19</v>
      </c>
      <c r="N516" t="str">
        <f t="shared" si="24"/>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_xlfn.XLOOKUP(orders!C517,customers!$A$1:$A$1001,customers!$B$1:$B$1001,,0)</f>
        <v>Tildie Tilzey</v>
      </c>
      <c r="G517" s="2" t="str">
        <f>IF(_xlfn.XLOOKUP(orders!C517,customers!$A$1:$A$1001,customers!$C$1:$C$1001,,0)=0,"",_xlfn.XLOOKUP(orders!C517,customers!$A$1:$A$1001,customers!$C$1:$C$1001,,0))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5"/>
        <v>21.509999999999998</v>
      </c>
      <c r="N517" t="str">
        <f t="shared" si="24"/>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_xlfn.XLOOKUP(orders!C518,customers!$A$1:$A$1001,customers!$B$1:$B$1001,,0)</f>
        <v>Cindra Burling</v>
      </c>
      <c r="G518" s="2" t="str">
        <f>IF(_xlfn.XLOOKUP(orders!C518,customers!$A$1:$A$1001,customers!$C$1:$C$1001,,0)=0,"",_xlfn.XLOOKUP(orders!C518,customers!$A$1:$A$1001,customers!$C$1:$C$1001,,0))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5"/>
        <v>102.92499999999998</v>
      </c>
      <c r="N518" t="str">
        <f t="shared" si="24"/>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_xlfn.XLOOKUP(orders!C519,customers!$A$1:$A$1001,customers!$B$1:$B$1001,,0)</f>
        <v>Channa Belamy</v>
      </c>
      <c r="G519" s="2" t="str">
        <f>IF(_xlfn.XLOOKUP(orders!C519,customers!$A$1:$A$1001,customers!$C$1:$C$1001,,0)=0,"",_xlfn.XLOOKUP(orders!C519,customers!$A$1:$A$1001,customers!$C$1:$C$1001,,0))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5"/>
        <v>7.77</v>
      </c>
      <c r="N519" t="str">
        <f t="shared" si="24"/>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_xlfn.XLOOKUP(orders!C520,customers!$A$1:$A$1001,customers!$B$1:$B$1001,,0)</f>
        <v>Karl Imorts</v>
      </c>
      <c r="G520" s="2" t="str">
        <f>IF(_xlfn.XLOOKUP(orders!C520,customers!$A$1:$A$1001,customers!$C$1:$C$1001,,0)=0,"",_xlfn.XLOOKUP(orders!C520,customers!$A$1:$A$1001,customers!$C$1:$C$1001,,0))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5"/>
        <v>139.72499999999999</v>
      </c>
      <c r="N520" t="str">
        <f t="shared" ref="N520:N583" si="27">IF(I520="Rob","Robusta",IF(I520="Exc","Excelsa",IF(I520="Ara","Arabica",IF(I520="Lib","Liberica"))))</f>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_xlfn.XLOOKUP(orders!C521,customers!$A$1:$A$1001,customers!$B$1:$B$1001,,0)</f>
        <v>Marja Urion</v>
      </c>
      <c r="G521" s="2" t="str">
        <f>IF(_xlfn.XLOOKUP(orders!C521,customers!$A$1:$A$1001,customers!$C$1:$C$1001,,0)=0,"",_xlfn.XLOOKUP(orders!C521,customers!$A$1:$A$1001,customers!$C$1:$C$1001,,0))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5"/>
        <v>11.94</v>
      </c>
      <c r="N521" t="str">
        <f t="shared" si="27"/>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_xlfn.XLOOKUP(orders!C522,customers!$A$1:$A$1001,customers!$B$1:$B$1001,,0)</f>
        <v>Mag Armistead</v>
      </c>
      <c r="G522" s="2" t="str">
        <f>IF(_xlfn.XLOOKUP(orders!C522,customers!$A$1:$A$1001,customers!$C$1:$C$1001,,0)=0,"",_xlfn.XLOOKUP(orders!C522,customers!$A$1:$A$1001,customers!$C$1:$C$1001,,0))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5"/>
        <v>3.8849999999999998</v>
      </c>
      <c r="N522" t="str">
        <f t="shared" si="27"/>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_xlfn.XLOOKUP(orders!C523,customers!$A$1:$A$1001,customers!$B$1:$B$1001,,0)</f>
        <v>Mag Armistead</v>
      </c>
      <c r="G523" s="2" t="str">
        <f>IF(_xlfn.XLOOKUP(orders!C523,customers!$A$1:$A$1001,customers!$C$1:$C$1001,,0)=0,"",_xlfn.XLOOKUP(orders!C523,customers!$A$1:$A$1001,customers!$C$1:$C$1001,,0))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5"/>
        <v>39.799999999999997</v>
      </c>
      <c r="N523" t="str">
        <f t="shared" si="27"/>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_xlfn.XLOOKUP(orders!C524,customers!$A$1:$A$1001,customers!$B$1:$B$1001,,0)</f>
        <v>Vasili Upstone</v>
      </c>
      <c r="G524" s="2" t="str">
        <f>IF(_xlfn.XLOOKUP(orders!C524,customers!$A$1:$A$1001,customers!$C$1:$C$1001,,0)=0,"",_xlfn.XLOOKUP(orders!C524,customers!$A$1:$A$1001,customers!$C$1:$C$1001,,0))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5"/>
        <v>29.849999999999998</v>
      </c>
      <c r="N524" t="str">
        <f t="shared" si="27"/>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_xlfn.XLOOKUP(orders!C525,customers!$A$1:$A$1001,customers!$B$1:$B$1001,,0)</f>
        <v>Berty Beelby</v>
      </c>
      <c r="G525" s="2" t="str">
        <f>IF(_xlfn.XLOOKUP(orders!C525,customers!$A$1:$A$1001,customers!$C$1:$C$1001,,0)=0,"",_xlfn.XLOOKUP(orders!C525,customers!$A$1:$A$1001,customers!$C$1:$C$1001,,0))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5"/>
        <v>29.784999999999997</v>
      </c>
      <c r="N525" t="str">
        <f t="shared" si="27"/>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_xlfn.XLOOKUP(orders!C526,customers!$A$1:$A$1001,customers!$B$1:$B$1001,,0)</f>
        <v>Erny Stenyng</v>
      </c>
      <c r="G526" s="2" t="str">
        <f>IF(_xlfn.XLOOKUP(orders!C526,customers!$A$1:$A$1001,customers!$C$1:$C$1001,,0)=0,"",_xlfn.XLOOKUP(orders!C526,customers!$A$1:$A$1001,customers!$C$1:$C$1001,,0))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5"/>
        <v>72.91</v>
      </c>
      <c r="N526" t="str">
        <f t="shared" si="27"/>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_xlfn.XLOOKUP(orders!C527,customers!$A$1:$A$1001,customers!$B$1:$B$1001,,0)</f>
        <v>Edin Yantsurev</v>
      </c>
      <c r="G527" s="2" t="str">
        <f>IF(_xlfn.XLOOKUP(orders!C527,customers!$A$1:$A$1001,customers!$C$1:$C$1001,,0)=0,"",_xlfn.XLOOKUP(orders!C527,customers!$A$1:$A$1001,customers!$C$1:$C$1001,,0))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5"/>
        <v>13.424999999999997</v>
      </c>
      <c r="N527" t="str">
        <f t="shared" si="27"/>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_xlfn.XLOOKUP(orders!C528,customers!$A$1:$A$1001,customers!$B$1:$B$1001,,0)</f>
        <v>Webb Speechly</v>
      </c>
      <c r="G528" s="2" t="str">
        <f>IF(_xlfn.XLOOKUP(orders!C528,customers!$A$1:$A$1001,customers!$C$1:$C$1001,,0)=0,"",_xlfn.XLOOKUP(orders!C528,customers!$A$1:$A$1001,customers!$C$1:$C$1001,,0))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5"/>
        <v>126.49999999999999</v>
      </c>
      <c r="N528" t="str">
        <f t="shared" si="27"/>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_xlfn.XLOOKUP(orders!C529,customers!$A$1:$A$1001,customers!$B$1:$B$1001,,0)</f>
        <v>Irvine Phillpot</v>
      </c>
      <c r="G529" s="2" t="str">
        <f>IF(_xlfn.XLOOKUP(orders!C529,customers!$A$1:$A$1001,customers!$C$1:$C$1001,,0)=0,"",_xlfn.XLOOKUP(orders!C529,customers!$A$1:$A$1001,customers!$C$1:$C$1001,,0))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5"/>
        <v>41.25</v>
      </c>
      <c r="N529" t="str">
        <f t="shared" si="27"/>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_xlfn.XLOOKUP(orders!C530,customers!$A$1:$A$1001,customers!$B$1:$B$1001,,0)</f>
        <v>Lem Pennacci</v>
      </c>
      <c r="G530" s="2" t="str">
        <f>IF(_xlfn.XLOOKUP(orders!C530,customers!$A$1:$A$1001,customers!$C$1:$C$1001,,0)=0,"",_xlfn.XLOOKUP(orders!C530,customers!$A$1:$A$1001,customers!$C$1:$C$1001,,0))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5"/>
        <v>53.46</v>
      </c>
      <c r="N530" t="str">
        <f t="shared" si="27"/>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_xlfn.XLOOKUP(orders!C531,customers!$A$1:$A$1001,customers!$B$1:$B$1001,,0)</f>
        <v>Starr Arpin</v>
      </c>
      <c r="G531" s="2" t="str">
        <f>IF(_xlfn.XLOOKUP(orders!C531,customers!$A$1:$A$1001,customers!$C$1:$C$1001,,0)=0,"",_xlfn.XLOOKUP(orders!C531,customers!$A$1:$A$1001,customers!$C$1:$C$1001,,0))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5"/>
        <v>59.699999999999996</v>
      </c>
      <c r="N531" t="str">
        <f t="shared" si="27"/>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_xlfn.XLOOKUP(orders!C532,customers!$A$1:$A$1001,customers!$B$1:$B$1001,,0)</f>
        <v>Donny Fries</v>
      </c>
      <c r="G532" s="2" t="str">
        <f>IF(_xlfn.XLOOKUP(orders!C532,customers!$A$1:$A$1001,customers!$C$1:$C$1001,,0)=0,"",_xlfn.XLOOKUP(orders!C532,customers!$A$1:$A$1001,customers!$C$1:$C$1001,,0))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5"/>
        <v>59.699999999999996</v>
      </c>
      <c r="N532" t="str">
        <f t="shared" si="27"/>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_xlfn.XLOOKUP(orders!C533,customers!$A$1:$A$1001,customers!$B$1:$B$1001,,0)</f>
        <v>Rana Sharer</v>
      </c>
      <c r="G533" s="2" t="str">
        <f>IF(_xlfn.XLOOKUP(orders!C533,customers!$A$1:$A$1001,customers!$C$1:$C$1001,,0)=0,"",_xlfn.XLOOKUP(orders!C533,customers!$A$1:$A$1001,customers!$C$1:$C$1001,,0))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5"/>
        <v>44.75</v>
      </c>
      <c r="N533" t="str">
        <f t="shared" si="27"/>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_xlfn.XLOOKUP(orders!C534,customers!$A$1:$A$1001,customers!$B$1:$B$1001,,0)</f>
        <v>Nannie Naseby</v>
      </c>
      <c r="G534" s="2" t="str">
        <f>IF(_xlfn.XLOOKUP(orders!C534,customers!$A$1:$A$1001,customers!$C$1:$C$1001,,0)=0,"",_xlfn.XLOOKUP(orders!C534,customers!$A$1:$A$1001,customers!$C$1:$C$1001,,0))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5"/>
        <v>16.5</v>
      </c>
      <c r="N534" t="str">
        <f t="shared" si="27"/>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_xlfn.XLOOKUP(orders!C535,customers!$A$1:$A$1001,customers!$B$1:$B$1001,,0)</f>
        <v>Rea Offell</v>
      </c>
      <c r="G535" s="2" t="str">
        <f>IF(_xlfn.XLOOKUP(orders!C535,customers!$A$1:$A$1001,customers!$C$1:$C$1001,,0)=0,"",_xlfn.XLOOKUP(orders!C535,customers!$A$1:$A$1001,customers!$C$1:$C$1001,,0))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5"/>
        <v>21.479999999999997</v>
      </c>
      <c r="N535" t="str">
        <f t="shared" si="27"/>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_xlfn.XLOOKUP(orders!C536,customers!$A$1:$A$1001,customers!$B$1:$B$1001,,0)</f>
        <v>Kris O'Cullen</v>
      </c>
      <c r="G536" s="2" t="str">
        <f>IF(_xlfn.XLOOKUP(orders!C536,customers!$A$1:$A$1001,customers!$C$1:$C$1001,,0)=0,"",_xlfn.XLOOKUP(orders!C536,customers!$A$1:$A$1001,customers!$C$1:$C$1001,,0))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5"/>
        <v>45.769999999999996</v>
      </c>
      <c r="N536" t="str">
        <f t="shared" si="27"/>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_xlfn.XLOOKUP(orders!C537,customers!$A$1:$A$1001,customers!$B$1:$B$1001,,0)</f>
        <v>Timoteo Glisane</v>
      </c>
      <c r="G537" s="2" t="str">
        <f>IF(_xlfn.XLOOKUP(orders!C537,customers!$A$1:$A$1001,customers!$C$1:$C$1001,,0)=0,"",_xlfn.XLOOKUP(orders!C537,customers!$A$1:$A$1001,customers!$C$1:$C$1001,,0))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5"/>
        <v>9.51</v>
      </c>
      <c r="N537" t="str">
        <f t="shared" si="27"/>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_xlfn.XLOOKUP(orders!C538,customers!$A$1:$A$1001,customers!$B$1:$B$1001,,0)</f>
        <v>Marja Urion</v>
      </c>
      <c r="G538" s="2" t="str">
        <f>IF(_xlfn.XLOOKUP(orders!C538,customers!$A$1:$A$1001,customers!$C$1:$C$1001,,0)=0,"",_xlfn.XLOOKUP(orders!C538,customers!$A$1:$A$1001,customers!$C$1:$C$1001,,0))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5"/>
        <v>8.0549999999999997</v>
      </c>
      <c r="N538" t="str">
        <f t="shared" si="27"/>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_xlfn.XLOOKUP(orders!C539,customers!$A$1:$A$1001,customers!$B$1:$B$1001,,0)</f>
        <v>Hildegarde Brangan</v>
      </c>
      <c r="G539" s="2" t="str">
        <f>IF(_xlfn.XLOOKUP(orders!C539,customers!$A$1:$A$1001,customers!$C$1:$C$1001,,0)=0,"",_xlfn.XLOOKUP(orders!C539,customers!$A$1:$A$1001,customers!$C$1:$C$1001,,0))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5"/>
        <v>111.78</v>
      </c>
      <c r="N539" t="str">
        <f t="shared" si="27"/>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_xlfn.XLOOKUP(orders!C540,customers!$A$1:$A$1001,customers!$B$1:$B$1001,,0)</f>
        <v>Amii Gallyon</v>
      </c>
      <c r="G540" s="2" t="str">
        <f>IF(_xlfn.XLOOKUP(orders!C540,customers!$A$1:$A$1001,customers!$C$1:$C$1001,,0)=0,"",_xlfn.XLOOKUP(orders!C540,customers!$A$1:$A$1001,customers!$C$1:$C$1001,,0))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5"/>
        <v>10.739999999999998</v>
      </c>
      <c r="N540" t="str">
        <f t="shared" si="27"/>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_xlfn.XLOOKUP(orders!C541,customers!$A$1:$A$1001,customers!$B$1:$B$1001,,0)</f>
        <v>Birgit Domange</v>
      </c>
      <c r="G541" s="2" t="str">
        <f>IF(_xlfn.XLOOKUP(orders!C541,customers!$A$1:$A$1001,customers!$C$1:$C$1001,,0)=0,"",_xlfn.XLOOKUP(orders!C541,customers!$A$1:$A$1001,customers!$C$1:$C$1001,,0))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5"/>
        <v>26.849999999999994</v>
      </c>
      <c r="N541" t="str">
        <f t="shared" si="27"/>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_xlfn.XLOOKUP(orders!C542,customers!$A$1:$A$1001,customers!$B$1:$B$1001,,0)</f>
        <v>Killian Osler</v>
      </c>
      <c r="G542" s="2" t="str">
        <f>IF(_xlfn.XLOOKUP(orders!C542,customers!$A$1:$A$1001,customers!$C$1:$C$1001,,0)=0,"",_xlfn.XLOOKUP(orders!C542,customers!$A$1:$A$1001,customers!$C$1:$C$1001,,0))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5"/>
        <v>63.4</v>
      </c>
      <c r="N542" t="str">
        <f t="shared" si="27"/>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_xlfn.XLOOKUP(orders!C543,customers!$A$1:$A$1001,customers!$B$1:$B$1001,,0)</f>
        <v>Lora Dukes</v>
      </c>
      <c r="G543" s="2" t="str">
        <f>IF(_xlfn.XLOOKUP(orders!C543,customers!$A$1:$A$1001,customers!$C$1:$C$1001,,0)=0,"",_xlfn.XLOOKUP(orders!C543,customers!$A$1:$A$1001,customers!$C$1:$C$1001,,0))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5"/>
        <v>22.884999999999998</v>
      </c>
      <c r="N543" t="str">
        <f t="shared" si="27"/>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_xlfn.XLOOKUP(orders!C544,customers!$A$1:$A$1001,customers!$B$1:$B$1001,,0)</f>
        <v>Zack Pellett</v>
      </c>
      <c r="G544" s="2" t="str">
        <f>IF(_xlfn.XLOOKUP(orders!C544,customers!$A$1:$A$1001,customers!$C$1:$C$1001,,0)=0,"",_xlfn.XLOOKUP(orders!C544,customers!$A$1:$A$1001,customers!$C$1:$C$1001,,0))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5"/>
        <v>103.49999999999999</v>
      </c>
      <c r="N544" t="str">
        <f t="shared" si="27"/>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_xlfn.XLOOKUP(orders!C545,customers!$A$1:$A$1001,customers!$B$1:$B$1001,,0)</f>
        <v>Ilaire Sprakes</v>
      </c>
      <c r="G545" s="2" t="str">
        <f>IF(_xlfn.XLOOKUP(orders!C545,customers!$A$1:$A$1001,customers!$C$1:$C$1001,,0)=0,"",_xlfn.XLOOKUP(orders!C545,customers!$A$1:$A$1001,customers!$C$1:$C$1001,,0))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5"/>
        <v>54.969999999999992</v>
      </c>
      <c r="N545" t="str">
        <f t="shared" si="27"/>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_xlfn.XLOOKUP(orders!C546,customers!$A$1:$A$1001,customers!$B$1:$B$1001,,0)</f>
        <v>Heda Fromant</v>
      </c>
      <c r="G546" s="2" t="str">
        <f>IF(_xlfn.XLOOKUP(orders!C546,customers!$A$1:$A$1001,customers!$C$1:$C$1001,,0)=0,"",_xlfn.XLOOKUP(orders!C546,customers!$A$1:$A$1001,customers!$C$1:$C$1001,,0))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5"/>
        <v>15.54</v>
      </c>
      <c r="N546" t="str">
        <f t="shared" si="27"/>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_xlfn.XLOOKUP(orders!C547,customers!$A$1:$A$1001,customers!$B$1:$B$1001,,0)</f>
        <v>Rufus Flear</v>
      </c>
      <c r="G547" s="2" t="str">
        <f>IF(_xlfn.XLOOKUP(orders!C547,customers!$A$1:$A$1001,customers!$C$1:$C$1001,,0)=0,"",_xlfn.XLOOKUP(orders!C547,customers!$A$1:$A$1001,customers!$C$1:$C$1001,,0))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5"/>
        <v>15.54</v>
      </c>
      <c r="N547" t="str">
        <f t="shared" si="27"/>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_xlfn.XLOOKUP(orders!C548,customers!$A$1:$A$1001,customers!$B$1:$B$1001,,0)</f>
        <v>Dom Milella</v>
      </c>
      <c r="G548" s="2" t="str">
        <f>IF(_xlfn.XLOOKUP(orders!C548,customers!$A$1:$A$1001,customers!$C$1:$C$1001,,0)=0,"",_xlfn.XLOOKUP(orders!C548,customers!$A$1:$A$1001,customers!$C$1:$C$1001,,0))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5"/>
        <v>83.835000000000008</v>
      </c>
      <c r="N548" t="str">
        <f t="shared" si="27"/>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_xlfn.XLOOKUP(orders!C549,customers!$A$1:$A$1001,customers!$B$1:$B$1001,,0)</f>
        <v>Wilek Lightollers</v>
      </c>
      <c r="G549" s="2" t="str">
        <f>IF(_xlfn.XLOOKUP(orders!C549,customers!$A$1:$A$1001,customers!$C$1:$C$1001,,0)=0,"",_xlfn.XLOOKUP(orders!C549,customers!$A$1:$A$1001,customers!$C$1:$C$1001,,0))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5"/>
        <v>10.754999999999999</v>
      </c>
      <c r="N549" t="str">
        <f t="shared" si="27"/>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_xlfn.XLOOKUP(orders!C550,customers!$A$1:$A$1001,customers!$B$1:$B$1001,,0)</f>
        <v>Bette-ann Munden</v>
      </c>
      <c r="G550" s="2" t="str">
        <f>IF(_xlfn.XLOOKUP(orders!C550,customers!$A$1:$A$1001,customers!$C$1:$C$1001,,0)=0,"",_xlfn.XLOOKUP(orders!C550,customers!$A$1:$A$1001,customers!$C$1:$C$1001,,0))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5"/>
        <v>13.365</v>
      </c>
      <c r="N550" t="str">
        <f t="shared" si="27"/>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_xlfn.XLOOKUP(orders!C551,customers!$A$1:$A$1001,customers!$B$1:$B$1001,,0)</f>
        <v>Wilek Lightollers</v>
      </c>
      <c r="G551" s="2" t="str">
        <f>IF(_xlfn.XLOOKUP(orders!C551,customers!$A$1:$A$1001,customers!$C$1:$C$1001,,0)=0,"",_xlfn.XLOOKUP(orders!C551,customers!$A$1:$A$1001,customers!$C$1:$C$1001,,0))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5"/>
        <v>17.82</v>
      </c>
      <c r="N551" t="str">
        <f t="shared" si="27"/>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_xlfn.XLOOKUP(orders!C552,customers!$A$1:$A$1001,customers!$B$1:$B$1001,,0)</f>
        <v>Nick Brakespear</v>
      </c>
      <c r="G552" s="2" t="str">
        <f>IF(_xlfn.XLOOKUP(orders!C552,customers!$A$1:$A$1001,customers!$C$1:$C$1001,,0)=0,"",_xlfn.XLOOKUP(orders!C552,customers!$A$1:$A$1001,customers!$C$1:$C$1001,,0))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5"/>
        <v>23.31</v>
      </c>
      <c r="N552" t="str">
        <f t="shared" si="27"/>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_xlfn.XLOOKUP(orders!C553,customers!$A$1:$A$1001,customers!$B$1:$B$1001,,0)</f>
        <v>Malynda Glawsop</v>
      </c>
      <c r="G553" s="2" t="str">
        <f>IF(_xlfn.XLOOKUP(orders!C553,customers!$A$1:$A$1001,customers!$C$1:$C$1001,,0)=0,"",_xlfn.XLOOKUP(orders!C553,customers!$A$1:$A$1001,customers!$C$1:$C$1001,,0))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5"/>
        <v>7.29</v>
      </c>
      <c r="N553" t="str">
        <f t="shared" si="27"/>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_xlfn.XLOOKUP(orders!C554,customers!$A$1:$A$1001,customers!$B$1:$B$1001,,0)</f>
        <v>Granville Alberts</v>
      </c>
      <c r="G554" s="2" t="str">
        <f>IF(_xlfn.XLOOKUP(orders!C554,customers!$A$1:$A$1001,customers!$C$1:$C$1001,,0)=0,"",_xlfn.XLOOKUP(orders!C554,customers!$A$1:$A$1001,customers!$C$1:$C$1001,,0))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5"/>
        <v>17.82</v>
      </c>
      <c r="N554" t="str">
        <f t="shared" si="27"/>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_xlfn.XLOOKUP(orders!C555,customers!$A$1:$A$1001,customers!$B$1:$B$1001,,0)</f>
        <v>Vasily Polglase</v>
      </c>
      <c r="G555" s="2" t="str">
        <f>IF(_xlfn.XLOOKUP(orders!C555,customers!$A$1:$A$1001,customers!$C$1:$C$1001,,0)=0,"",_xlfn.XLOOKUP(orders!C555,customers!$A$1:$A$1001,customers!$C$1:$C$1001,,0))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5"/>
        <v>68.75</v>
      </c>
      <c r="N555" t="str">
        <f t="shared" si="27"/>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_xlfn.XLOOKUP(orders!C556,customers!$A$1:$A$1001,customers!$B$1:$B$1001,,0)</f>
        <v>Madelaine Sharples</v>
      </c>
      <c r="G556" s="2" t="str">
        <f>IF(_xlfn.XLOOKUP(orders!C556,customers!$A$1:$A$1001,customers!$C$1:$C$1001,,0)=0,"",_xlfn.XLOOKUP(orders!C556,customers!$A$1:$A$1001,customers!$C$1:$C$1001,,0))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5"/>
        <v>54.969999999999992</v>
      </c>
      <c r="N556" t="str">
        <f t="shared" si="27"/>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_xlfn.XLOOKUP(orders!C557,customers!$A$1:$A$1001,customers!$B$1:$B$1001,,0)</f>
        <v>Sigfrid Busch</v>
      </c>
      <c r="G557" s="2" t="str">
        <f>IF(_xlfn.XLOOKUP(orders!C557,customers!$A$1:$A$1001,customers!$C$1:$C$1001,,0)=0,"",_xlfn.XLOOKUP(orders!C557,customers!$A$1:$A$1001,customers!$C$1:$C$1001,,0))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5"/>
        <v>82.5</v>
      </c>
      <c r="N557" t="str">
        <f t="shared" si="27"/>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_xlfn.XLOOKUP(orders!C558,customers!$A$1:$A$1001,customers!$B$1:$B$1001,,0)</f>
        <v>Cissiee Raisbeck</v>
      </c>
      <c r="G558" s="2" t="str">
        <f>IF(_xlfn.XLOOKUP(orders!C558,customers!$A$1:$A$1001,customers!$C$1:$C$1001,,0)=0,"",_xlfn.XLOOKUP(orders!C558,customers!$A$1:$A$1001,customers!$C$1:$C$1001,,0))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5"/>
        <v>8.73</v>
      </c>
      <c r="N558" t="str">
        <f t="shared" si="27"/>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_xlfn.XLOOKUP(orders!C559,customers!$A$1:$A$1001,customers!$B$1:$B$1001,,0)</f>
        <v>Marja Urion</v>
      </c>
      <c r="G559" s="2" t="str">
        <f>IF(_xlfn.XLOOKUP(orders!C559,customers!$A$1:$A$1001,customers!$C$1:$C$1001,,0)=0,"",_xlfn.XLOOKUP(orders!C559,customers!$A$1:$A$1001,customers!$C$1:$C$1001,,0))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5"/>
        <v>59.4</v>
      </c>
      <c r="N559" t="str">
        <f t="shared" si="27"/>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_xlfn.XLOOKUP(orders!C560,customers!$A$1:$A$1001,customers!$B$1:$B$1001,,0)</f>
        <v>Kenton Wetherick</v>
      </c>
      <c r="G560" s="2" t="str">
        <f>IF(_xlfn.XLOOKUP(orders!C560,customers!$A$1:$A$1001,customers!$C$1:$C$1001,,0)=0,"",_xlfn.XLOOKUP(orders!C560,customers!$A$1:$A$1001,customers!$C$1:$C$1001,,0))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5"/>
        <v>15.54</v>
      </c>
      <c r="N560" t="str">
        <f t="shared" si="27"/>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_xlfn.XLOOKUP(orders!C561,customers!$A$1:$A$1001,customers!$B$1:$B$1001,,0)</f>
        <v>Reamonn Aynold</v>
      </c>
      <c r="G561" s="2" t="str">
        <f>IF(_xlfn.XLOOKUP(orders!C561,customers!$A$1:$A$1001,customers!$C$1:$C$1001,,0)=0,"",_xlfn.XLOOKUP(orders!C561,customers!$A$1:$A$1001,customers!$C$1:$C$1001,,0))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5"/>
        <v>38.849999999999994</v>
      </c>
      <c r="N561" t="str">
        <f t="shared" si="27"/>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_xlfn.XLOOKUP(orders!C562,customers!$A$1:$A$1001,customers!$B$1:$B$1001,,0)</f>
        <v>Hatty Dovydenas</v>
      </c>
      <c r="G562" s="2" t="str">
        <f>IF(_xlfn.XLOOKUP(orders!C562,customers!$A$1:$A$1001,customers!$C$1:$C$1001,,0)=0,"",_xlfn.XLOOKUP(orders!C562,customers!$A$1:$A$1001,customers!$C$1:$C$1001,,0))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5"/>
        <v>189.74999999999997</v>
      </c>
      <c r="N562" t="str">
        <f t="shared" si="27"/>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_xlfn.XLOOKUP(orders!C563,customers!$A$1:$A$1001,customers!$B$1:$B$1001,,0)</f>
        <v>Nathaniel Bloxland</v>
      </c>
      <c r="G563" s="2" t="str">
        <f>IF(_xlfn.XLOOKUP(orders!C563,customers!$A$1:$A$1001,customers!$C$1:$C$1001,,0)=0,"",_xlfn.XLOOKUP(orders!C563,customers!$A$1:$A$1001,customers!$C$1:$C$1001,,0))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5"/>
        <v>17.91</v>
      </c>
      <c r="N563" t="str">
        <f t="shared" si="27"/>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_xlfn.XLOOKUP(orders!C564,customers!$A$1:$A$1001,customers!$B$1:$B$1001,,0)</f>
        <v>Brendan Grece</v>
      </c>
      <c r="G564" s="2" t="str">
        <f>IF(_xlfn.XLOOKUP(orders!C564,customers!$A$1:$A$1001,customers!$C$1:$C$1001,,0)=0,"",_xlfn.XLOOKUP(orders!C564,customers!$A$1:$A$1001,customers!$C$1:$C$1001,,0))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5"/>
        <v>28.53</v>
      </c>
      <c r="N564" t="str">
        <f t="shared" si="27"/>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_xlfn.XLOOKUP(orders!C565,customers!$A$1:$A$1001,customers!$B$1:$B$1001,,0)</f>
        <v>Don Flintiff</v>
      </c>
      <c r="G565" s="2" t="str">
        <f>IF(_xlfn.XLOOKUP(orders!C565,customers!$A$1:$A$1001,customers!$C$1:$C$1001,,0)=0,"",_xlfn.XLOOKUP(orders!C565,customers!$A$1:$A$1001,customers!$C$1:$C$1001,,0))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5"/>
        <v>82.5</v>
      </c>
      <c r="N565" t="str">
        <f t="shared" si="27"/>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_xlfn.XLOOKUP(orders!C566,customers!$A$1:$A$1001,customers!$B$1:$B$1001,,0)</f>
        <v>Abbe Thys</v>
      </c>
      <c r="G566" s="2" t="str">
        <f>IF(_xlfn.XLOOKUP(orders!C566,customers!$A$1:$A$1001,customers!$C$1:$C$1001,,0)=0,"",_xlfn.XLOOKUP(orders!C566,customers!$A$1:$A$1001,customers!$C$1:$C$1001,,0))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5"/>
        <v>14.339999999999998</v>
      </c>
      <c r="N566" t="str">
        <f t="shared" si="27"/>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_xlfn.XLOOKUP(orders!C567,customers!$A$1:$A$1001,customers!$B$1:$B$1001,,0)</f>
        <v>Jackquelin Chugg</v>
      </c>
      <c r="G567" s="2" t="str">
        <f>IF(_xlfn.XLOOKUP(orders!C567,customers!$A$1:$A$1001,customers!$C$1:$C$1001,,0)=0,"",_xlfn.XLOOKUP(orders!C567,customers!$A$1:$A$1001,customers!$C$1:$C$1001,,0))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5"/>
        <v>82.339999999999989</v>
      </c>
      <c r="N567" t="str">
        <f t="shared" si="27"/>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_xlfn.XLOOKUP(orders!C568,customers!$A$1:$A$1001,customers!$B$1:$B$1001,,0)</f>
        <v>Audra Kelston</v>
      </c>
      <c r="G568" s="2" t="str">
        <f>IF(_xlfn.XLOOKUP(orders!C568,customers!$A$1:$A$1001,customers!$C$1:$C$1001,,0)=0,"",_xlfn.XLOOKUP(orders!C568,customers!$A$1:$A$1001,customers!$C$1:$C$1001,,0))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5"/>
        <v>20.25</v>
      </c>
      <c r="N568" t="str">
        <f t="shared" si="27"/>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_xlfn.XLOOKUP(orders!C569,customers!$A$1:$A$1001,customers!$B$1:$B$1001,,0)</f>
        <v>Elvina Angel</v>
      </c>
      <c r="G569" s="2" t="str">
        <f>IF(_xlfn.XLOOKUP(orders!C569,customers!$A$1:$A$1001,customers!$C$1:$C$1001,,0)=0,"",_xlfn.XLOOKUP(orders!C569,customers!$A$1:$A$1001,customers!$C$1:$C$1001,,0))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5"/>
        <v>164.90999999999997</v>
      </c>
      <c r="N569" t="str">
        <f t="shared" si="27"/>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_xlfn.XLOOKUP(orders!C570,customers!$A$1:$A$1001,customers!$B$1:$B$1001,,0)</f>
        <v>Claiborne Mottram</v>
      </c>
      <c r="G570" s="2" t="str">
        <f>IF(_xlfn.XLOOKUP(orders!C570,customers!$A$1:$A$1001,customers!$C$1:$C$1001,,0)=0,"",_xlfn.XLOOKUP(orders!C570,customers!$A$1:$A$1001,customers!$C$1:$C$1001,,0))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5"/>
        <v>19.02</v>
      </c>
      <c r="N570" t="str">
        <f t="shared" si="27"/>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_xlfn.XLOOKUP(orders!C571,customers!$A$1:$A$1001,customers!$B$1:$B$1001,,0)</f>
        <v>Don Flintiff</v>
      </c>
      <c r="G571" s="2" t="str">
        <f>IF(_xlfn.XLOOKUP(orders!C571,customers!$A$1:$A$1001,customers!$C$1:$C$1001,,0)=0,"",_xlfn.XLOOKUP(orders!C571,customers!$A$1:$A$1001,customers!$C$1:$C$1001,,0))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5"/>
        <v>137.31</v>
      </c>
      <c r="N571" t="str">
        <f t="shared" si="27"/>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_xlfn.XLOOKUP(orders!C572,customers!$A$1:$A$1001,customers!$B$1:$B$1001,,0)</f>
        <v>Donalt Sangwin</v>
      </c>
      <c r="G572" s="2" t="str">
        <f>IF(_xlfn.XLOOKUP(orders!C572,customers!$A$1:$A$1001,customers!$C$1:$C$1001,,0)=0,"",_xlfn.XLOOKUP(orders!C572,customers!$A$1:$A$1001,customers!$C$1:$C$1001,,0))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5"/>
        <v>27</v>
      </c>
      <c r="N572" t="str">
        <f t="shared" si="27"/>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_xlfn.XLOOKUP(orders!C573,customers!$A$1:$A$1001,customers!$B$1:$B$1001,,0)</f>
        <v>Elizabet Aizikowitz</v>
      </c>
      <c r="G573" s="2" t="str">
        <f>IF(_xlfn.XLOOKUP(orders!C573,customers!$A$1:$A$1001,customers!$C$1:$C$1001,,0)=0,"",_xlfn.XLOOKUP(orders!C573,customers!$A$1:$A$1001,customers!$C$1:$C$1001,,0))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5"/>
        <v>35.64</v>
      </c>
      <c r="N573" t="str">
        <f t="shared" si="27"/>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_xlfn.XLOOKUP(orders!C574,customers!$A$1:$A$1001,customers!$B$1:$B$1001,,0)</f>
        <v>Herbie Peppard</v>
      </c>
      <c r="G574" s="2" t="str">
        <f>IF(_xlfn.XLOOKUP(orders!C574,customers!$A$1:$A$1001,customers!$C$1:$C$1001,,0)=0,"",_xlfn.XLOOKUP(orders!C574,customers!$A$1:$A$1001,customers!$C$1:$C$1001,,0))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5"/>
        <v>5.97</v>
      </c>
      <c r="N574" t="str">
        <f t="shared" si="27"/>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_xlfn.XLOOKUP(orders!C575,customers!$A$1:$A$1001,customers!$B$1:$B$1001,,0)</f>
        <v>Cornie Venour</v>
      </c>
      <c r="G575" s="2" t="str">
        <f>IF(_xlfn.XLOOKUP(orders!C575,customers!$A$1:$A$1001,customers!$C$1:$C$1001,,0)=0,"",_xlfn.XLOOKUP(orders!C575,customers!$A$1:$A$1001,customers!$C$1:$C$1001,,0))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5"/>
        <v>67.5</v>
      </c>
      <c r="N575" t="str">
        <f t="shared" si="27"/>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_xlfn.XLOOKUP(orders!C576,customers!$A$1:$A$1001,customers!$B$1:$B$1001,,0)</f>
        <v>Maggy Harby</v>
      </c>
      <c r="G576" s="2" t="str">
        <f>IF(_xlfn.XLOOKUP(orders!C576,customers!$A$1:$A$1001,customers!$C$1:$C$1001,,0)=0,"",_xlfn.XLOOKUP(orders!C576,customers!$A$1:$A$1001,customers!$C$1:$C$1001,,0))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5"/>
        <v>21.509999999999998</v>
      </c>
      <c r="N576" t="str">
        <f t="shared" si="27"/>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_xlfn.XLOOKUP(orders!C577,customers!$A$1:$A$1001,customers!$B$1:$B$1001,,0)</f>
        <v>Reggie Thickpenny</v>
      </c>
      <c r="G577" s="2" t="str">
        <f>IF(_xlfn.XLOOKUP(orders!C577,customers!$A$1:$A$1001,customers!$C$1:$C$1001,,0)=0,"",_xlfn.XLOOKUP(orders!C577,customers!$A$1:$A$1001,customers!$C$1:$C$1001,,0))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5"/>
        <v>66.929999999999993</v>
      </c>
      <c r="N577" t="str">
        <f t="shared" si="27"/>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_xlfn.XLOOKUP(orders!C578,customers!$A$1:$A$1001,customers!$B$1:$B$1001,,0)</f>
        <v>Phyllys Ormerod</v>
      </c>
      <c r="G578" s="2" t="str">
        <f>IF(_xlfn.XLOOKUP(orders!C578,customers!$A$1:$A$1001,customers!$C$1:$C$1001,,0)=0,"",_xlfn.XLOOKUP(orders!C578,customers!$A$1:$A$1001,customers!$C$1:$C$1001,,0))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5"/>
        <v>17.91</v>
      </c>
      <c r="N578" t="str">
        <f t="shared" si="27"/>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_xlfn.XLOOKUP(orders!C579,customers!$A$1:$A$1001,customers!$B$1:$B$1001,,0)</f>
        <v>Don Flintiff</v>
      </c>
      <c r="G579" s="2" t="str">
        <f>IF(_xlfn.XLOOKUP(orders!C579,customers!$A$1:$A$1001,customers!$C$1:$C$1001,,0)=0,"",_xlfn.XLOOKUP(orders!C579,customers!$A$1:$A$1001,customers!$C$1:$C$1001,,0))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8">L579*E579</f>
        <v>58.2</v>
      </c>
      <c r="N579" t="str">
        <f t="shared" si="27"/>
        <v>Liberica</v>
      </c>
      <c r="O579" t="str">
        <f t="shared" ref="O579:O642" si="29">IF(J579="M","Medium",IF(J579= "L", "Light",IF(J579="D", "Dark","")))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_xlfn.XLOOKUP(orders!C580,customers!$A$1:$A$1001,customers!$B$1:$B$1001,,0)</f>
        <v>Tymon Zanetti</v>
      </c>
      <c r="G580" s="2" t="str">
        <f>IF(_xlfn.XLOOKUP(orders!C580,customers!$A$1:$A$1001,customers!$C$1:$C$1001,,0)=0,"",_xlfn.XLOOKUP(orders!C580,customers!$A$1:$A$1001,customers!$C$1:$C$1001,,0))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8"/>
        <v>13.365</v>
      </c>
      <c r="N580" t="str">
        <f t="shared" si="27"/>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_xlfn.XLOOKUP(orders!C581,customers!$A$1:$A$1001,customers!$B$1:$B$1001,,0)</f>
        <v>Tymon Zanetti</v>
      </c>
      <c r="G581" s="2" t="str">
        <f>IF(_xlfn.XLOOKUP(orders!C581,customers!$A$1:$A$1001,customers!$C$1:$C$1001,,0)=0,"",_xlfn.XLOOKUP(orders!C581,customers!$A$1:$A$1001,customers!$C$1:$C$1001,,0))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8"/>
        <v>33.75</v>
      </c>
      <c r="N581" t="str">
        <f t="shared" si="27"/>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_xlfn.XLOOKUP(orders!C582,customers!$A$1:$A$1001,customers!$B$1:$B$1001,,0)</f>
        <v>Reinaldos Kirtley</v>
      </c>
      <c r="G582" s="2" t="str">
        <f>IF(_xlfn.XLOOKUP(orders!C582,customers!$A$1:$A$1001,customers!$C$1:$C$1001,,0)=0,"",_xlfn.XLOOKUP(orders!C582,customers!$A$1:$A$1001,customers!$C$1:$C$1001,,0))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8"/>
        <v>44.55</v>
      </c>
      <c r="N582" t="str">
        <f t="shared" si="27"/>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_xlfn.XLOOKUP(orders!C583,customers!$A$1:$A$1001,customers!$B$1:$B$1001,,0)</f>
        <v>Carney Clemencet</v>
      </c>
      <c r="G583" s="2" t="str">
        <f>IF(_xlfn.XLOOKUP(orders!C583,customers!$A$1:$A$1001,customers!$C$1:$C$1001,,0)=0,"",_xlfn.XLOOKUP(orders!C583,customers!$A$1:$A$1001,customers!$C$1:$C$1001,,0))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8"/>
        <v>44.55</v>
      </c>
      <c r="N583" t="str">
        <f t="shared" si="27"/>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_xlfn.XLOOKUP(orders!C584,customers!$A$1:$A$1001,customers!$B$1:$B$1001,,0)</f>
        <v>Russell Donet</v>
      </c>
      <c r="G584" s="2" t="str">
        <f>IF(_xlfn.XLOOKUP(orders!C584,customers!$A$1:$A$1001,customers!$C$1:$C$1001,,0)=0,"",_xlfn.XLOOKUP(orders!C584,customers!$A$1:$A$1001,customers!$C$1:$C$1001,,0))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8"/>
        <v>60.75</v>
      </c>
      <c r="N584" t="str">
        <f t="shared" ref="N584:N647" si="30">IF(I584="Rob","Robusta",IF(I584="Exc","Excelsa",IF(I584="Ara","Arabica",IF(I584="Lib","Liberica"))))</f>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_xlfn.XLOOKUP(orders!C585,customers!$A$1:$A$1001,customers!$B$1:$B$1001,,0)</f>
        <v>Sidney Gawen</v>
      </c>
      <c r="G585" s="2" t="str">
        <f>IF(_xlfn.XLOOKUP(orders!C585,customers!$A$1:$A$1001,customers!$C$1:$C$1001,,0)=0,"",_xlfn.XLOOKUP(orders!C585,customers!$A$1:$A$1001,customers!$C$1:$C$1001,,0))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8"/>
        <v>3.5849999999999995</v>
      </c>
      <c r="N585" t="str">
        <f t="shared" si="30"/>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_xlfn.XLOOKUP(orders!C586,customers!$A$1:$A$1001,customers!$B$1:$B$1001,,0)</f>
        <v>Rickey Readie</v>
      </c>
      <c r="G586" s="2" t="str">
        <f>IF(_xlfn.XLOOKUP(orders!C586,customers!$A$1:$A$1001,customers!$C$1:$C$1001,,0)=0,"",_xlfn.XLOOKUP(orders!C586,customers!$A$1:$A$1001,customers!$C$1:$C$1001,,0))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8"/>
        <v>21.509999999999998</v>
      </c>
      <c r="N586" t="str">
        <f t="shared" si="30"/>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_xlfn.XLOOKUP(orders!C587,customers!$A$1:$A$1001,customers!$B$1:$B$1001,,0)</f>
        <v>Cody Verissimo</v>
      </c>
      <c r="G587" s="2" t="str">
        <f>IF(_xlfn.XLOOKUP(orders!C587,customers!$A$1:$A$1001,customers!$C$1:$C$1001,,0)=0,"",_xlfn.XLOOKUP(orders!C587,customers!$A$1:$A$1001,customers!$C$1:$C$1001,,0))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8"/>
        <v>16.5</v>
      </c>
      <c r="N587" t="str">
        <f t="shared" si="30"/>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_xlfn.XLOOKUP(orders!C588,customers!$A$1:$A$1001,customers!$B$1:$B$1001,,0)</f>
        <v>Zilvia Claisse</v>
      </c>
      <c r="G588" s="2" t="str">
        <f>IF(_xlfn.XLOOKUP(orders!C588,customers!$A$1:$A$1001,customers!$C$1:$C$1001,,0)=0,"",_xlfn.XLOOKUP(orders!C588,customers!$A$1:$A$1001,customers!$C$1:$C$1001,,0))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8"/>
        <v>82.454999999999984</v>
      </c>
      <c r="N588" t="str">
        <f t="shared" si="30"/>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_xlfn.XLOOKUP(orders!C589,customers!$A$1:$A$1001,customers!$B$1:$B$1001,,0)</f>
        <v>Bar O' Mahony</v>
      </c>
      <c r="G589" s="2" t="str">
        <f>IF(_xlfn.XLOOKUP(orders!C589,customers!$A$1:$A$1001,customers!$C$1:$C$1001,,0)=0,"",_xlfn.XLOOKUP(orders!C589,customers!$A$1:$A$1001,customers!$C$1:$C$1001,,0))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8"/>
        <v>7.77</v>
      </c>
      <c r="N589" t="str">
        <f t="shared" si="30"/>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_xlfn.XLOOKUP(orders!C590,customers!$A$1:$A$1001,customers!$B$1:$B$1001,,0)</f>
        <v>Valenka Stansbury</v>
      </c>
      <c r="G590" s="2" t="str">
        <f>IF(_xlfn.XLOOKUP(orders!C590,customers!$A$1:$A$1001,customers!$C$1:$C$1001,,0)=0,"",_xlfn.XLOOKUP(orders!C590,customers!$A$1:$A$1001,customers!$C$1:$C$1001,,0))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8"/>
        <v>11.94</v>
      </c>
      <c r="N590" t="str">
        <f t="shared" si="30"/>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_xlfn.XLOOKUP(orders!C591,customers!$A$1:$A$1001,customers!$B$1:$B$1001,,0)</f>
        <v>Daniel Heinonen</v>
      </c>
      <c r="G591" s="2" t="str">
        <f>IF(_xlfn.XLOOKUP(orders!C591,customers!$A$1:$A$1001,customers!$C$1:$C$1001,,0)=0,"",_xlfn.XLOOKUP(orders!C591,customers!$A$1:$A$1001,customers!$C$1:$C$1001,,0))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8"/>
        <v>204.92999999999995</v>
      </c>
      <c r="N591" t="str">
        <f t="shared" si="30"/>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_xlfn.XLOOKUP(orders!C592,customers!$A$1:$A$1001,customers!$B$1:$B$1001,,0)</f>
        <v>Jewelle Shenton</v>
      </c>
      <c r="G592" s="2" t="str">
        <f>IF(_xlfn.XLOOKUP(orders!C592,customers!$A$1:$A$1001,customers!$C$1:$C$1001,,0)=0,"",_xlfn.XLOOKUP(orders!C592,customers!$A$1:$A$1001,customers!$C$1:$C$1001,,0))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8"/>
        <v>63.249999999999993</v>
      </c>
      <c r="N592" t="str">
        <f t="shared" si="30"/>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_xlfn.XLOOKUP(orders!C593,customers!$A$1:$A$1001,customers!$B$1:$B$1001,,0)</f>
        <v>Jennifer Wilkisson</v>
      </c>
      <c r="G593" s="2" t="str">
        <f>IF(_xlfn.XLOOKUP(orders!C593,customers!$A$1:$A$1001,customers!$C$1:$C$1001,,0)=0,"",_xlfn.XLOOKUP(orders!C593,customers!$A$1:$A$1001,customers!$C$1:$C$1001,,0))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8"/>
        <v>8.0549999999999997</v>
      </c>
      <c r="N593" t="str">
        <f t="shared" si="30"/>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_xlfn.XLOOKUP(orders!C594,customers!$A$1:$A$1001,customers!$B$1:$B$1001,,0)</f>
        <v>Kylie Mowat</v>
      </c>
      <c r="G594" s="2" t="str">
        <f>IF(_xlfn.XLOOKUP(orders!C594,customers!$A$1:$A$1001,customers!$C$1:$C$1001,,0)=0,"",_xlfn.XLOOKUP(orders!C594,customers!$A$1:$A$1001,customers!$C$1:$C$1001,,0))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8"/>
        <v>51.749999999999993</v>
      </c>
      <c r="N594" t="str">
        <f t="shared" si="30"/>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_xlfn.XLOOKUP(orders!C595,customers!$A$1:$A$1001,customers!$B$1:$B$1001,,0)</f>
        <v>Cody Verissimo</v>
      </c>
      <c r="G595" s="2" t="str">
        <f>IF(_xlfn.XLOOKUP(orders!C595,customers!$A$1:$A$1001,customers!$C$1:$C$1001,,0)=0,"",_xlfn.XLOOKUP(orders!C595,customers!$A$1:$A$1001,customers!$C$1:$C$1001,,0))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8"/>
        <v>27.945</v>
      </c>
      <c r="N595" t="str">
        <f t="shared" si="30"/>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_xlfn.XLOOKUP(orders!C596,customers!$A$1:$A$1001,customers!$B$1:$B$1001,,0)</f>
        <v>Gabriel Starcks</v>
      </c>
      <c r="G596" s="2" t="str">
        <f>IF(_xlfn.XLOOKUP(orders!C596,customers!$A$1:$A$1001,customers!$C$1:$C$1001,,0)=0,"",_xlfn.XLOOKUP(orders!C596,customers!$A$1:$A$1001,customers!$C$1:$C$1001,,0))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8"/>
        <v>59.569999999999993</v>
      </c>
      <c r="N596" t="str">
        <f t="shared" si="30"/>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_xlfn.XLOOKUP(orders!C597,customers!$A$1:$A$1001,customers!$B$1:$B$1001,,0)</f>
        <v>Darby Dummer</v>
      </c>
      <c r="G597" s="2" t="str">
        <f>IF(_xlfn.XLOOKUP(orders!C597,customers!$A$1:$A$1001,customers!$C$1:$C$1001,,0)=0,"",_xlfn.XLOOKUP(orders!C597,customers!$A$1:$A$1001,customers!$C$1:$C$1001,,0))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8"/>
        <v>14.85</v>
      </c>
      <c r="N597" t="str">
        <f t="shared" si="30"/>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_xlfn.XLOOKUP(orders!C598,customers!$A$1:$A$1001,customers!$B$1:$B$1001,,0)</f>
        <v>Kienan Scholard</v>
      </c>
      <c r="G598" s="2" t="str">
        <f>IF(_xlfn.XLOOKUP(orders!C598,customers!$A$1:$A$1001,customers!$C$1:$C$1001,,0)=0,"",_xlfn.XLOOKUP(orders!C598,customers!$A$1:$A$1001,customers!$C$1:$C$1001,,0))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8"/>
        <v>33.75</v>
      </c>
      <c r="N598" t="str">
        <f t="shared" si="30"/>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_xlfn.XLOOKUP(orders!C599,customers!$A$1:$A$1001,customers!$B$1:$B$1001,,0)</f>
        <v>Bo Kindley</v>
      </c>
      <c r="G599" s="2" t="str">
        <f>IF(_xlfn.XLOOKUP(orders!C599,customers!$A$1:$A$1001,customers!$C$1:$C$1001,,0)=0,"",_xlfn.XLOOKUP(orders!C599,customers!$A$1:$A$1001,customers!$C$1:$C$1001,,0))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8"/>
        <v>145.82</v>
      </c>
      <c r="N599" t="str">
        <f t="shared" si="30"/>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_xlfn.XLOOKUP(orders!C600,customers!$A$1:$A$1001,customers!$B$1:$B$1001,,0)</f>
        <v>Krissie Hammett</v>
      </c>
      <c r="G600" s="2" t="str">
        <f>IF(_xlfn.XLOOKUP(orders!C600,customers!$A$1:$A$1001,customers!$C$1:$C$1001,,0)=0,"",_xlfn.XLOOKUP(orders!C600,customers!$A$1:$A$1001,customers!$C$1:$C$1001,,0))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8"/>
        <v>11.94</v>
      </c>
      <c r="N600" t="str">
        <f t="shared" si="30"/>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_xlfn.XLOOKUP(orders!C601,customers!$A$1:$A$1001,customers!$B$1:$B$1001,,0)</f>
        <v>Alisha Hulburt</v>
      </c>
      <c r="G601" s="2" t="str">
        <f>IF(_xlfn.XLOOKUP(orders!C601,customers!$A$1:$A$1001,customers!$C$1:$C$1001,,0)=0,"",_xlfn.XLOOKUP(orders!C601,customers!$A$1:$A$1001,customers!$C$1:$C$1001,,0))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8"/>
        <v>11.94</v>
      </c>
      <c r="N601" t="str">
        <f t="shared" si="30"/>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_xlfn.XLOOKUP(orders!C602,customers!$A$1:$A$1001,customers!$B$1:$B$1001,,0)</f>
        <v>Peyter Lauritzen</v>
      </c>
      <c r="G602" s="2" t="str">
        <f>IF(_xlfn.XLOOKUP(orders!C602,customers!$A$1:$A$1001,customers!$C$1:$C$1001,,0)=0,"",_xlfn.XLOOKUP(orders!C602,customers!$A$1:$A$1001,customers!$C$1:$C$1001,,0))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8"/>
        <v>7.77</v>
      </c>
      <c r="N602" t="str">
        <f t="shared" si="30"/>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_xlfn.XLOOKUP(orders!C603,customers!$A$1:$A$1001,customers!$B$1:$B$1001,,0)</f>
        <v>Aurelia Burgwin</v>
      </c>
      <c r="G603" s="2" t="str">
        <f>IF(_xlfn.XLOOKUP(orders!C603,customers!$A$1:$A$1001,customers!$C$1:$C$1001,,0)=0,"",_xlfn.XLOOKUP(orders!C603,customers!$A$1:$A$1001,customers!$C$1:$C$1001,,0))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8"/>
        <v>109.93999999999998</v>
      </c>
      <c r="N603" t="str">
        <f t="shared" si="30"/>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_xlfn.XLOOKUP(orders!C604,customers!$A$1:$A$1001,customers!$B$1:$B$1001,,0)</f>
        <v>Emalee Rolin</v>
      </c>
      <c r="G604" s="2" t="str">
        <f>IF(_xlfn.XLOOKUP(orders!C604,customers!$A$1:$A$1001,customers!$C$1:$C$1001,,0)=0,"",_xlfn.XLOOKUP(orders!C604,customers!$A$1:$A$1001,customers!$C$1:$C$1001,,0))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8"/>
        <v>22.274999999999999</v>
      </c>
      <c r="N604" t="str">
        <f t="shared" si="30"/>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_xlfn.XLOOKUP(orders!C605,customers!$A$1:$A$1001,customers!$B$1:$B$1001,,0)</f>
        <v>Donavon Fowle</v>
      </c>
      <c r="G605" s="2" t="str">
        <f>IF(_xlfn.XLOOKUP(orders!C605,customers!$A$1:$A$1001,customers!$C$1:$C$1001,,0)=0,"",_xlfn.XLOOKUP(orders!C605,customers!$A$1:$A$1001,customers!$C$1:$C$1001,,0))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8"/>
        <v>8.9550000000000001</v>
      </c>
      <c r="N605" t="str">
        <f t="shared" si="30"/>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_xlfn.XLOOKUP(orders!C606,customers!$A$1:$A$1001,customers!$B$1:$B$1001,,0)</f>
        <v>Jorge Bettison</v>
      </c>
      <c r="G606" s="2" t="str">
        <f>IF(_xlfn.XLOOKUP(orders!C606,customers!$A$1:$A$1001,customers!$C$1:$C$1001,,0)=0,"",_xlfn.XLOOKUP(orders!C606,customers!$A$1:$A$1001,customers!$C$1:$C$1001,,0))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8"/>
        <v>119.13999999999999</v>
      </c>
      <c r="N606" t="str">
        <f t="shared" si="30"/>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_xlfn.XLOOKUP(orders!C607,customers!$A$1:$A$1001,customers!$B$1:$B$1001,,0)</f>
        <v>Wang Powlesland</v>
      </c>
      <c r="G607" s="2" t="str">
        <f>IF(_xlfn.XLOOKUP(orders!C607,customers!$A$1:$A$1001,customers!$C$1:$C$1001,,0)=0,"",_xlfn.XLOOKUP(orders!C607,customers!$A$1:$A$1001,customers!$C$1:$C$1001,,0))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8"/>
        <v>148.92499999999998</v>
      </c>
      <c r="N607" t="str">
        <f t="shared" si="30"/>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_xlfn.XLOOKUP(orders!C608,customers!$A$1:$A$1001,customers!$B$1:$B$1001,,0)</f>
        <v>Cody Verissimo</v>
      </c>
      <c r="G608" s="2" t="str">
        <f>IF(_xlfn.XLOOKUP(orders!C608,customers!$A$1:$A$1001,customers!$C$1:$C$1001,,0)=0,"",_xlfn.XLOOKUP(orders!C608,customers!$A$1:$A$1001,customers!$C$1:$C$1001,,0))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8"/>
        <v>109.36499999999999</v>
      </c>
      <c r="N608" t="str">
        <f t="shared" si="30"/>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_xlfn.XLOOKUP(orders!C609,customers!$A$1:$A$1001,customers!$B$1:$B$1001,,0)</f>
        <v>Laurence Ellingham</v>
      </c>
      <c r="G609" s="2" t="str">
        <f>IF(_xlfn.XLOOKUP(orders!C609,customers!$A$1:$A$1001,customers!$C$1:$C$1001,,0)=0,"",_xlfn.XLOOKUP(orders!C609,customers!$A$1:$A$1001,customers!$C$1:$C$1001,,0))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8"/>
        <v>3.645</v>
      </c>
      <c r="N609" t="str">
        <f t="shared" si="30"/>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_xlfn.XLOOKUP(orders!C610,customers!$A$1:$A$1001,customers!$B$1:$B$1001,,0)</f>
        <v>Billy Neiland</v>
      </c>
      <c r="G610" s="2" t="str">
        <f>IF(_xlfn.XLOOKUP(orders!C610,customers!$A$1:$A$1001,customers!$C$1:$C$1001,,0)=0,"",_xlfn.XLOOKUP(orders!C610,customers!$A$1:$A$1001,customers!$C$1:$C$1001,,0))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8"/>
        <v>55.89</v>
      </c>
      <c r="N610" t="str">
        <f t="shared" si="30"/>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_xlfn.XLOOKUP(orders!C611,customers!$A$1:$A$1001,customers!$B$1:$B$1001,,0)</f>
        <v>Ancell Fendt</v>
      </c>
      <c r="G611" s="2" t="str">
        <f>IF(_xlfn.XLOOKUP(orders!C611,customers!$A$1:$A$1001,customers!$C$1:$C$1001,,0)=0,"",_xlfn.XLOOKUP(orders!C611,customers!$A$1:$A$1001,customers!$C$1:$C$1001,,0))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8"/>
        <v>26.19</v>
      </c>
      <c r="N611" t="str">
        <f t="shared" si="30"/>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_xlfn.XLOOKUP(orders!C612,customers!$A$1:$A$1001,customers!$B$1:$B$1001,,0)</f>
        <v>Angelia Cleyburn</v>
      </c>
      <c r="G612" s="2" t="str">
        <f>IF(_xlfn.XLOOKUP(orders!C612,customers!$A$1:$A$1001,customers!$C$1:$C$1001,,0)=0,"",_xlfn.XLOOKUP(orders!C612,customers!$A$1:$A$1001,customers!$C$1:$C$1001,,0))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8"/>
        <v>39.799999999999997</v>
      </c>
      <c r="N612" t="str">
        <f t="shared" si="30"/>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_xlfn.XLOOKUP(orders!C613,customers!$A$1:$A$1001,customers!$B$1:$B$1001,,0)</f>
        <v>Temple Castiglione</v>
      </c>
      <c r="G613" s="2" t="str">
        <f>IF(_xlfn.XLOOKUP(orders!C613,customers!$A$1:$A$1001,customers!$C$1:$C$1001,,0)=0,"",_xlfn.XLOOKUP(orders!C613,customers!$A$1:$A$1001,customers!$C$1:$C$1001,,0))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8"/>
        <v>68.309999999999988</v>
      </c>
      <c r="N613" t="str">
        <f t="shared" si="30"/>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_xlfn.XLOOKUP(orders!C614,customers!$A$1:$A$1001,customers!$B$1:$B$1001,,0)</f>
        <v>Betti Lacasa</v>
      </c>
      <c r="G614" s="2" t="str">
        <f>IF(_xlfn.XLOOKUP(orders!C614,customers!$A$1:$A$1001,customers!$C$1:$C$1001,,0)=0,"",_xlfn.XLOOKUP(orders!C614,customers!$A$1:$A$1001,customers!$C$1:$C$1001,,0))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8"/>
        <v>13.5</v>
      </c>
      <c r="N614" t="str">
        <f t="shared" si="30"/>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_xlfn.XLOOKUP(orders!C615,customers!$A$1:$A$1001,customers!$B$1:$B$1001,,0)</f>
        <v>Gunilla Lynch</v>
      </c>
      <c r="G615" s="2" t="str">
        <f>IF(_xlfn.XLOOKUP(orders!C615,customers!$A$1:$A$1001,customers!$C$1:$C$1001,,0)=0,"",_xlfn.XLOOKUP(orders!C615,customers!$A$1:$A$1001,customers!$C$1:$C$1001,,0))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8"/>
        <v>5.97</v>
      </c>
      <c r="N615" t="str">
        <f t="shared" si="30"/>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_xlfn.XLOOKUP(orders!C616,customers!$A$1:$A$1001,customers!$B$1:$B$1001,,0)</f>
        <v>Cody Verissimo</v>
      </c>
      <c r="G616" s="2" t="str">
        <f>IF(_xlfn.XLOOKUP(orders!C616,customers!$A$1:$A$1001,customers!$C$1:$C$1001,,0)=0,"",_xlfn.XLOOKUP(orders!C616,customers!$A$1:$A$1001,customers!$C$1:$C$1001,,0))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8"/>
        <v>29.849999999999998</v>
      </c>
      <c r="N616" t="str">
        <f t="shared" si="30"/>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_xlfn.XLOOKUP(orders!C617,customers!$A$1:$A$1001,customers!$B$1:$B$1001,,0)</f>
        <v>Shay Couronne</v>
      </c>
      <c r="G617" s="2" t="str">
        <f>IF(_xlfn.XLOOKUP(orders!C617,customers!$A$1:$A$1001,customers!$C$1:$C$1001,,0)=0,"",_xlfn.XLOOKUP(orders!C617,customers!$A$1:$A$1001,customers!$C$1:$C$1001,,0))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8"/>
        <v>72.91</v>
      </c>
      <c r="N617" t="str">
        <f t="shared" si="30"/>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_xlfn.XLOOKUP(orders!C618,customers!$A$1:$A$1001,customers!$B$1:$B$1001,,0)</f>
        <v>Linus Flippelli</v>
      </c>
      <c r="G618" s="2" t="str">
        <f>IF(_xlfn.XLOOKUP(orders!C618,customers!$A$1:$A$1001,customers!$C$1:$C$1001,,0)=0,"",_xlfn.XLOOKUP(orders!C618,customers!$A$1:$A$1001,customers!$C$1:$C$1001,,0))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8"/>
        <v>126.49999999999999</v>
      </c>
      <c r="N618" t="str">
        <f t="shared" si="30"/>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_xlfn.XLOOKUP(orders!C619,customers!$A$1:$A$1001,customers!$B$1:$B$1001,,0)</f>
        <v>Rachelle Elizabeth</v>
      </c>
      <c r="G619" s="2" t="str">
        <f>IF(_xlfn.XLOOKUP(orders!C619,customers!$A$1:$A$1001,customers!$C$1:$C$1001,,0)=0,"",_xlfn.XLOOKUP(orders!C619,customers!$A$1:$A$1001,customers!$C$1:$C$1001,,0))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8"/>
        <v>33.464999999999996</v>
      </c>
      <c r="N619" t="str">
        <f t="shared" si="30"/>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_xlfn.XLOOKUP(orders!C620,customers!$A$1:$A$1001,customers!$B$1:$B$1001,,0)</f>
        <v>Innis Renhard</v>
      </c>
      <c r="G620" s="2" t="str">
        <f>IF(_xlfn.XLOOKUP(orders!C620,customers!$A$1:$A$1001,customers!$C$1:$C$1001,,0)=0,"",_xlfn.XLOOKUP(orders!C620,customers!$A$1:$A$1001,customers!$C$1:$C$1001,,0))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8"/>
        <v>72.900000000000006</v>
      </c>
      <c r="N620" t="str">
        <f t="shared" si="30"/>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_xlfn.XLOOKUP(orders!C621,customers!$A$1:$A$1001,customers!$B$1:$B$1001,,0)</f>
        <v>Winne Roche</v>
      </c>
      <c r="G621" s="2" t="str">
        <f>IF(_xlfn.XLOOKUP(orders!C621,customers!$A$1:$A$1001,customers!$C$1:$C$1001,,0)=0,"",_xlfn.XLOOKUP(orders!C621,customers!$A$1:$A$1001,customers!$C$1:$C$1001,,0))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8"/>
        <v>15.54</v>
      </c>
      <c r="N621" t="str">
        <f t="shared" si="30"/>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_xlfn.XLOOKUP(orders!C622,customers!$A$1:$A$1001,customers!$B$1:$B$1001,,0)</f>
        <v>Linn Alaway</v>
      </c>
      <c r="G622" s="2" t="str">
        <f>IF(_xlfn.XLOOKUP(orders!C622,customers!$A$1:$A$1001,customers!$C$1:$C$1001,,0)=0,"",_xlfn.XLOOKUP(orders!C622,customers!$A$1:$A$1001,customers!$C$1:$C$1001,,0))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8"/>
        <v>20.25</v>
      </c>
      <c r="N622" t="str">
        <f t="shared" si="30"/>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_xlfn.XLOOKUP(orders!C623,customers!$A$1:$A$1001,customers!$B$1:$B$1001,,0)</f>
        <v>Cordy Odgaard</v>
      </c>
      <c r="G623" s="2" t="str">
        <f>IF(_xlfn.XLOOKUP(orders!C623,customers!$A$1:$A$1001,customers!$C$1:$C$1001,,0)=0,"",_xlfn.XLOOKUP(orders!C623,customers!$A$1:$A$1001,customers!$C$1:$C$1001,,0))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8"/>
        <v>77.699999999999989</v>
      </c>
      <c r="N623" t="str">
        <f t="shared" si="30"/>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_xlfn.XLOOKUP(orders!C624,customers!$A$1:$A$1001,customers!$B$1:$B$1001,,0)</f>
        <v>Bertine Byrd</v>
      </c>
      <c r="G624" s="2" t="str">
        <f>IF(_xlfn.XLOOKUP(orders!C624,customers!$A$1:$A$1001,customers!$C$1:$C$1001,,0)=0,"",_xlfn.XLOOKUP(orders!C624,customers!$A$1:$A$1001,customers!$C$1:$C$1001,,0))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8"/>
        <v>133.85999999999999</v>
      </c>
      <c r="N624" t="str">
        <f t="shared" si="30"/>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_xlfn.XLOOKUP(orders!C625,customers!$A$1:$A$1001,customers!$B$1:$B$1001,,0)</f>
        <v>Nelie Garnson</v>
      </c>
      <c r="G625" s="2" t="str">
        <f>IF(_xlfn.XLOOKUP(orders!C625,customers!$A$1:$A$1001,customers!$C$1:$C$1001,,0)=0,"",_xlfn.XLOOKUP(orders!C625,customers!$A$1:$A$1001,customers!$C$1:$C$1001,,0))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8"/>
        <v>12.15</v>
      </c>
      <c r="N625" t="str">
        <f t="shared" si="30"/>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_xlfn.XLOOKUP(orders!C626,customers!$A$1:$A$1001,customers!$B$1:$B$1001,,0)</f>
        <v>Dianne Chardin</v>
      </c>
      <c r="G626" s="2" t="str">
        <f>IF(_xlfn.XLOOKUP(orders!C626,customers!$A$1:$A$1001,customers!$C$1:$C$1001,,0)=0,"",_xlfn.XLOOKUP(orders!C626,customers!$A$1:$A$1001,customers!$C$1:$C$1001,,0))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8"/>
        <v>63.249999999999993</v>
      </c>
      <c r="N626" t="str">
        <f t="shared" si="30"/>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_xlfn.XLOOKUP(orders!C627,customers!$A$1:$A$1001,customers!$B$1:$B$1001,,0)</f>
        <v>Hailee Radbone</v>
      </c>
      <c r="G627" s="2" t="str">
        <f>IF(_xlfn.XLOOKUP(orders!C627,customers!$A$1:$A$1001,customers!$C$1:$C$1001,,0)=0,"",_xlfn.XLOOKUP(orders!C627,customers!$A$1:$A$1001,customers!$C$1:$C$1001,,0))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8"/>
        <v>35.849999999999994</v>
      </c>
      <c r="N627" t="str">
        <f t="shared" si="30"/>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_xlfn.XLOOKUP(orders!C628,customers!$A$1:$A$1001,customers!$B$1:$B$1001,,0)</f>
        <v>Wallis Bernth</v>
      </c>
      <c r="G628" s="2" t="str">
        <f>IF(_xlfn.XLOOKUP(orders!C628,customers!$A$1:$A$1001,customers!$C$1:$C$1001,,0)=0,"",_xlfn.XLOOKUP(orders!C628,customers!$A$1:$A$1001,customers!$C$1:$C$1001,,0))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8"/>
        <v>77.624999999999986</v>
      </c>
      <c r="N628" t="str">
        <f t="shared" si="30"/>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_xlfn.XLOOKUP(orders!C629,customers!$A$1:$A$1001,customers!$B$1:$B$1001,,0)</f>
        <v>Byron Acarson</v>
      </c>
      <c r="G629" s="2" t="str">
        <f>IF(_xlfn.XLOOKUP(orders!C629,customers!$A$1:$A$1001,customers!$C$1:$C$1001,,0)=0,"",_xlfn.XLOOKUP(orders!C629,customers!$A$1:$A$1001,customers!$C$1:$C$1001,,0))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8"/>
        <v>63.249999999999993</v>
      </c>
      <c r="N629" t="str">
        <f t="shared" si="30"/>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_xlfn.XLOOKUP(orders!C630,customers!$A$1:$A$1001,customers!$B$1:$B$1001,,0)</f>
        <v>Faunie Brigham</v>
      </c>
      <c r="G630" s="2" t="str">
        <f>IF(_xlfn.XLOOKUP(orders!C630,customers!$A$1:$A$1001,customers!$C$1:$C$1001,,0)=0,"",_xlfn.XLOOKUP(orders!C630,customers!$A$1:$A$1001,customers!$C$1:$C$1001,,0))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8"/>
        <v>26.73</v>
      </c>
      <c r="N630" t="str">
        <f t="shared" si="30"/>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_xlfn.XLOOKUP(orders!C631,customers!$A$1:$A$1001,customers!$B$1:$B$1001,,0)</f>
        <v>Faunie Brigham</v>
      </c>
      <c r="G631" s="2" t="str">
        <f>IF(_xlfn.XLOOKUP(orders!C631,customers!$A$1:$A$1001,customers!$C$1:$C$1001,,0)=0,"",_xlfn.XLOOKUP(orders!C631,customers!$A$1:$A$1001,customers!$C$1:$C$1001,,0))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8"/>
        <v>31.08</v>
      </c>
      <c r="N631" t="str">
        <f t="shared" si="30"/>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_xlfn.XLOOKUP(orders!C632,customers!$A$1:$A$1001,customers!$B$1:$B$1001,,0)</f>
        <v>Faunie Brigham</v>
      </c>
      <c r="G632" s="2" t="str">
        <f>IF(_xlfn.XLOOKUP(orders!C632,customers!$A$1:$A$1001,customers!$C$1:$C$1001,,0)=0,"",_xlfn.XLOOKUP(orders!C632,customers!$A$1:$A$1001,customers!$C$1:$C$1001,,0))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8"/>
        <v>2.9849999999999999</v>
      </c>
      <c r="N632" t="str">
        <f t="shared" si="30"/>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_xlfn.XLOOKUP(orders!C633,customers!$A$1:$A$1001,customers!$B$1:$B$1001,,0)</f>
        <v>Faunie Brigham</v>
      </c>
      <c r="G633" s="2" t="str">
        <f>IF(_xlfn.XLOOKUP(orders!C633,customers!$A$1:$A$1001,customers!$C$1:$C$1001,,0)=0,"",_xlfn.XLOOKUP(orders!C633,customers!$A$1:$A$1001,customers!$C$1:$C$1001,,0))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8"/>
        <v>102.92499999999998</v>
      </c>
      <c r="N633" t="str">
        <f t="shared" si="30"/>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_xlfn.XLOOKUP(orders!C634,customers!$A$1:$A$1001,customers!$B$1:$B$1001,,0)</f>
        <v>Marjorie Yoxen</v>
      </c>
      <c r="G634" s="2" t="str">
        <f>IF(_xlfn.XLOOKUP(orders!C634,customers!$A$1:$A$1001,customers!$C$1:$C$1001,,0)=0,"",_xlfn.XLOOKUP(orders!C634,customers!$A$1:$A$1001,customers!$C$1:$C$1001,,0))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8"/>
        <v>35.64</v>
      </c>
      <c r="N634" t="str">
        <f t="shared" si="30"/>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_xlfn.XLOOKUP(orders!C635,customers!$A$1:$A$1001,customers!$B$1:$B$1001,,0)</f>
        <v>Gaspar McGavin</v>
      </c>
      <c r="G635" s="2" t="str">
        <f>IF(_xlfn.XLOOKUP(orders!C635,customers!$A$1:$A$1001,customers!$C$1:$C$1001,,0)=0,"",_xlfn.XLOOKUP(orders!C635,customers!$A$1:$A$1001,customers!$C$1:$C$1001,,0))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8"/>
        <v>47.8</v>
      </c>
      <c r="N635" t="str">
        <f t="shared" si="30"/>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_xlfn.XLOOKUP(orders!C636,customers!$A$1:$A$1001,customers!$B$1:$B$1001,,0)</f>
        <v>Lindy Uttermare</v>
      </c>
      <c r="G636" s="2" t="str">
        <f>IF(_xlfn.XLOOKUP(orders!C636,customers!$A$1:$A$1001,customers!$C$1:$C$1001,,0)=0,"",_xlfn.XLOOKUP(orders!C636,customers!$A$1:$A$1001,customers!$C$1:$C$1001,,0))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8"/>
        <v>43.650000000000006</v>
      </c>
      <c r="N636" t="str">
        <f t="shared" si="30"/>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_xlfn.XLOOKUP(orders!C637,customers!$A$1:$A$1001,customers!$B$1:$B$1001,,0)</f>
        <v>Eal D'Ambrogio</v>
      </c>
      <c r="G637" s="2" t="str">
        <f>IF(_xlfn.XLOOKUP(orders!C637,customers!$A$1:$A$1001,customers!$C$1:$C$1001,,0)=0,"",_xlfn.XLOOKUP(orders!C637,customers!$A$1:$A$1001,customers!$C$1:$C$1001,,0))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8"/>
        <v>35.64</v>
      </c>
      <c r="N637" t="str">
        <f t="shared" si="30"/>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_xlfn.XLOOKUP(orders!C638,customers!$A$1:$A$1001,customers!$B$1:$B$1001,,0)</f>
        <v>Carolee Winchcombe</v>
      </c>
      <c r="G638" s="2" t="str">
        <f>IF(_xlfn.XLOOKUP(orders!C638,customers!$A$1:$A$1001,customers!$C$1:$C$1001,,0)=0,"",_xlfn.XLOOKUP(orders!C638,customers!$A$1:$A$1001,customers!$C$1:$C$1001,,0))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8"/>
        <v>95.1</v>
      </c>
      <c r="N638" t="str">
        <f t="shared" si="30"/>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_xlfn.XLOOKUP(orders!C639,customers!$A$1:$A$1001,customers!$B$1:$B$1001,,0)</f>
        <v>Benedikta Paumier</v>
      </c>
      <c r="G639" s="2" t="str">
        <f>IF(_xlfn.XLOOKUP(orders!C639,customers!$A$1:$A$1001,customers!$C$1:$C$1001,,0)=0,"",_xlfn.XLOOKUP(orders!C639,customers!$A$1:$A$1001,customers!$C$1:$C$1001,,0))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8"/>
        <v>31.624999999999996</v>
      </c>
      <c r="N639" t="str">
        <f t="shared" si="30"/>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_xlfn.XLOOKUP(orders!C640,customers!$A$1:$A$1001,customers!$B$1:$B$1001,,0)</f>
        <v>Neville Piatto</v>
      </c>
      <c r="G640" s="2" t="str">
        <f>IF(_xlfn.XLOOKUP(orders!C640,customers!$A$1:$A$1001,customers!$C$1:$C$1001,,0)=0,"",_xlfn.XLOOKUP(orders!C640,customers!$A$1:$A$1001,customers!$C$1:$C$1001,,0))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8"/>
        <v>77.624999999999986</v>
      </c>
      <c r="N640" t="str">
        <f t="shared" si="30"/>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_xlfn.XLOOKUP(orders!C641,customers!$A$1:$A$1001,customers!$B$1:$B$1001,,0)</f>
        <v>Jeno Capey</v>
      </c>
      <c r="G641" s="2" t="str">
        <f>IF(_xlfn.XLOOKUP(orders!C641,customers!$A$1:$A$1001,customers!$C$1:$C$1001,,0)=0,"",_xlfn.XLOOKUP(orders!C641,customers!$A$1:$A$1001,customers!$C$1:$C$1001,,0))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8"/>
        <v>3.8849999999999998</v>
      </c>
      <c r="N641" t="str">
        <f t="shared" si="30"/>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_xlfn.XLOOKUP(orders!C642,customers!$A$1:$A$1001,customers!$B$1:$B$1001,,0)</f>
        <v>Tuckie Mathonnet</v>
      </c>
      <c r="G642" s="2" t="str">
        <f>IF(_xlfn.XLOOKUP(orders!C642,customers!$A$1:$A$1001,customers!$C$1:$C$1001,,0)=0,"",_xlfn.XLOOKUP(orders!C642,customers!$A$1:$A$1001,customers!$C$1:$C$1001,,0))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8"/>
        <v>137.42499999999998</v>
      </c>
      <c r="N642" t="str">
        <f t="shared" si="30"/>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_xlfn.XLOOKUP(orders!C643,customers!$A$1:$A$1001,customers!$B$1:$B$1001,,0)</f>
        <v>Yardley Basill</v>
      </c>
      <c r="G643" s="2" t="str">
        <f>IF(_xlfn.XLOOKUP(orders!C643,customers!$A$1:$A$1001,customers!$C$1:$C$1001,,0)=0,"",_xlfn.XLOOKUP(orders!C643,customers!$A$1:$A$1001,customers!$C$1:$C$1001,,0))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1">L643*E643</f>
        <v>35.849999999999994</v>
      </c>
      <c r="N643" t="str">
        <f t="shared" si="30"/>
        <v>Robusta</v>
      </c>
      <c r="O643" t="str">
        <f t="shared" ref="O643:O706" si="32">IF(J643="M","Medium",IF(J643= "L", "Light",IF(J643="D", "Dark","")))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_xlfn.XLOOKUP(orders!C644,customers!$A$1:$A$1001,customers!$B$1:$B$1001,,0)</f>
        <v>Maggy Baistow</v>
      </c>
      <c r="G644" s="2" t="str">
        <f>IF(_xlfn.XLOOKUP(orders!C644,customers!$A$1:$A$1001,customers!$C$1:$C$1001,,0)=0,"",_xlfn.XLOOKUP(orders!C644,customers!$A$1:$A$1001,customers!$C$1:$C$1001,,0))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1"/>
        <v>8.25</v>
      </c>
      <c r="N644" t="str">
        <f t="shared" si="30"/>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_xlfn.XLOOKUP(orders!C645,customers!$A$1:$A$1001,customers!$B$1:$B$1001,,0)</f>
        <v>Courtney Pallant</v>
      </c>
      <c r="G645" s="2" t="str">
        <f>IF(_xlfn.XLOOKUP(orders!C645,customers!$A$1:$A$1001,customers!$C$1:$C$1001,,0)=0,"",_xlfn.XLOOKUP(orders!C645,customers!$A$1:$A$1001,customers!$C$1:$C$1001,,0))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1"/>
        <v>102.46499999999997</v>
      </c>
      <c r="N645" t="str">
        <f t="shared" si="30"/>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_xlfn.XLOOKUP(orders!C646,customers!$A$1:$A$1001,customers!$B$1:$B$1001,,0)</f>
        <v>Marne Mingey</v>
      </c>
      <c r="G646" s="2" t="str">
        <f>IF(_xlfn.XLOOKUP(orders!C646,customers!$A$1:$A$1001,customers!$C$1:$C$1001,,0)=0,"",_xlfn.XLOOKUP(orders!C646,customers!$A$1:$A$1001,customers!$C$1:$C$1001,,0))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1"/>
        <v>41.169999999999995</v>
      </c>
      <c r="N646" t="str">
        <f t="shared" si="30"/>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_xlfn.XLOOKUP(orders!C647,customers!$A$1:$A$1001,customers!$B$1:$B$1001,,0)</f>
        <v>Denny O' Ronan</v>
      </c>
      <c r="G647" s="2" t="str">
        <f>IF(_xlfn.XLOOKUP(orders!C647,customers!$A$1:$A$1001,customers!$C$1:$C$1001,,0)=0,"",_xlfn.XLOOKUP(orders!C647,customers!$A$1:$A$1001,customers!$C$1:$C$1001,,0))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1"/>
        <v>68.655000000000001</v>
      </c>
      <c r="N647" t="str">
        <f t="shared" si="30"/>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_xlfn.XLOOKUP(orders!C648,customers!$A$1:$A$1001,customers!$B$1:$B$1001,,0)</f>
        <v>Dottie Rallin</v>
      </c>
      <c r="G648" s="2" t="str">
        <f>IF(_xlfn.XLOOKUP(orders!C648,customers!$A$1:$A$1001,customers!$C$1:$C$1001,,0)=0,"",_xlfn.XLOOKUP(orders!C648,customers!$A$1:$A$1001,customers!$C$1:$C$1001,,0))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1"/>
        <v>9.9499999999999993</v>
      </c>
      <c r="N648" t="str">
        <f t="shared" ref="N648:N711" si="33">IF(I648="Rob","Robusta",IF(I648="Exc","Excelsa",IF(I648="Ara","Arabica",IF(I648="Lib","Liberica"))))</f>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_xlfn.XLOOKUP(orders!C649,customers!$A$1:$A$1001,customers!$B$1:$B$1001,,0)</f>
        <v>Ardith Chill</v>
      </c>
      <c r="G649" s="2" t="str">
        <f>IF(_xlfn.XLOOKUP(orders!C649,customers!$A$1:$A$1001,customers!$C$1:$C$1001,,0)=0,"",_xlfn.XLOOKUP(orders!C649,customers!$A$1:$A$1001,customers!$C$1:$C$1001,,0))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1"/>
        <v>28.53</v>
      </c>
      <c r="N649" t="str">
        <f t="shared" si="33"/>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_xlfn.XLOOKUP(orders!C650,customers!$A$1:$A$1001,customers!$B$1:$B$1001,,0)</f>
        <v>Tuckie Mathonnet</v>
      </c>
      <c r="G650" s="2" t="str">
        <f>IF(_xlfn.XLOOKUP(orders!C650,customers!$A$1:$A$1001,customers!$C$1:$C$1001,,0)=0,"",_xlfn.XLOOKUP(orders!C650,customers!$A$1:$A$1001,customers!$C$1:$C$1001,,0))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1"/>
        <v>16.11</v>
      </c>
      <c r="N650" t="str">
        <f t="shared" si="33"/>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_xlfn.XLOOKUP(orders!C651,customers!$A$1:$A$1001,customers!$B$1:$B$1001,,0)</f>
        <v>Charmane Denys</v>
      </c>
      <c r="G651" s="2" t="str">
        <f>IF(_xlfn.XLOOKUP(orders!C651,customers!$A$1:$A$1001,customers!$C$1:$C$1001,,0)=0,"",_xlfn.XLOOKUP(orders!C651,customers!$A$1:$A$1001,customers!$C$1:$C$1001,,0))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1"/>
        <v>95.1</v>
      </c>
      <c r="N651" t="str">
        <f t="shared" si="33"/>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_xlfn.XLOOKUP(orders!C652,customers!$A$1:$A$1001,customers!$B$1:$B$1001,,0)</f>
        <v>Cecily Stebbings</v>
      </c>
      <c r="G652" s="2" t="str">
        <f>IF(_xlfn.XLOOKUP(orders!C652,customers!$A$1:$A$1001,customers!$C$1:$C$1001,,0)=0,"",_xlfn.XLOOKUP(orders!C652,customers!$A$1:$A$1001,customers!$C$1:$C$1001,,0))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1"/>
        <v>5.3699999999999992</v>
      </c>
      <c r="N652" t="str">
        <f t="shared" si="33"/>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_xlfn.XLOOKUP(orders!C653,customers!$A$1:$A$1001,customers!$B$1:$B$1001,,0)</f>
        <v>Giana Tonnesen</v>
      </c>
      <c r="G653" s="2" t="str">
        <f>IF(_xlfn.XLOOKUP(orders!C653,customers!$A$1:$A$1001,customers!$C$1:$C$1001,,0)=0,"",_xlfn.XLOOKUP(orders!C653,customers!$A$1:$A$1001,customers!$C$1:$C$1001,,0))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1"/>
        <v>47.8</v>
      </c>
      <c r="N653" t="str">
        <f t="shared" si="33"/>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_xlfn.XLOOKUP(orders!C654,customers!$A$1:$A$1001,customers!$B$1:$B$1001,,0)</f>
        <v>Rhetta Zywicki</v>
      </c>
      <c r="G654" s="2" t="str">
        <f>IF(_xlfn.XLOOKUP(orders!C654,customers!$A$1:$A$1001,customers!$C$1:$C$1001,,0)=0,"",_xlfn.XLOOKUP(orders!C654,customers!$A$1:$A$1001,customers!$C$1:$C$1001,,0))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1"/>
        <v>63.4</v>
      </c>
      <c r="N654" t="str">
        <f t="shared" si="33"/>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_xlfn.XLOOKUP(orders!C655,customers!$A$1:$A$1001,customers!$B$1:$B$1001,,0)</f>
        <v>Almeria Burgett</v>
      </c>
      <c r="G655" s="2" t="str">
        <f>IF(_xlfn.XLOOKUP(orders!C655,customers!$A$1:$A$1001,customers!$C$1:$C$1001,,0)=0,"",_xlfn.XLOOKUP(orders!C655,customers!$A$1:$A$1001,customers!$C$1:$C$1001,,0))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1"/>
        <v>103.49999999999999</v>
      </c>
      <c r="N655" t="str">
        <f t="shared" si="33"/>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_xlfn.XLOOKUP(orders!C656,customers!$A$1:$A$1001,customers!$B$1:$B$1001,,0)</f>
        <v>Marvin Malloy</v>
      </c>
      <c r="G656" s="2" t="str">
        <f>IF(_xlfn.XLOOKUP(orders!C656,customers!$A$1:$A$1001,customers!$C$1:$C$1001,,0)=0,"",_xlfn.XLOOKUP(orders!C656,customers!$A$1:$A$1001,customers!$C$1:$C$1001,,0))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1"/>
        <v>68.655000000000001</v>
      </c>
      <c r="N656" t="str">
        <f t="shared" si="33"/>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_xlfn.XLOOKUP(orders!C657,customers!$A$1:$A$1001,customers!$B$1:$B$1001,,0)</f>
        <v>Maxim McParland</v>
      </c>
      <c r="G657" s="2" t="str">
        <f>IF(_xlfn.XLOOKUP(orders!C657,customers!$A$1:$A$1001,customers!$C$1:$C$1001,,0)=0,"",_xlfn.XLOOKUP(orders!C657,customers!$A$1:$A$1001,customers!$C$1:$C$1001,,0))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1"/>
        <v>45.769999999999996</v>
      </c>
      <c r="N657" t="str">
        <f t="shared" si="33"/>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_xlfn.XLOOKUP(orders!C658,customers!$A$1:$A$1001,customers!$B$1:$B$1001,,0)</f>
        <v>Sylas Jennaroy</v>
      </c>
      <c r="G658" s="2" t="str">
        <f>IF(_xlfn.XLOOKUP(orders!C658,customers!$A$1:$A$1001,customers!$C$1:$C$1001,,0)=0,"",_xlfn.XLOOKUP(orders!C658,customers!$A$1:$A$1001,customers!$C$1:$C$1001,,0))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1"/>
        <v>51.8</v>
      </c>
      <c r="N658" t="str">
        <f t="shared" si="33"/>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_xlfn.XLOOKUP(orders!C659,customers!$A$1:$A$1001,customers!$B$1:$B$1001,,0)</f>
        <v>Wren Place</v>
      </c>
      <c r="G659" s="2" t="str">
        <f>IF(_xlfn.XLOOKUP(orders!C659,customers!$A$1:$A$1001,customers!$C$1:$C$1001,,0)=0,"",_xlfn.XLOOKUP(orders!C659,customers!$A$1:$A$1001,customers!$C$1:$C$1001,,0))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1"/>
        <v>13.5</v>
      </c>
      <c r="N659" t="str">
        <f t="shared" si="33"/>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_xlfn.XLOOKUP(orders!C660,customers!$A$1:$A$1001,customers!$B$1:$B$1001,,0)</f>
        <v>Janella Millett</v>
      </c>
      <c r="G660" s="2" t="str">
        <f>IF(_xlfn.XLOOKUP(orders!C660,customers!$A$1:$A$1001,customers!$C$1:$C$1001,,0)=0,"",_xlfn.XLOOKUP(orders!C660,customers!$A$1:$A$1001,customers!$C$1:$C$1001,,0))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1"/>
        <v>24.75</v>
      </c>
      <c r="N660" t="str">
        <f t="shared" si="33"/>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_xlfn.XLOOKUP(orders!C661,customers!$A$1:$A$1001,customers!$B$1:$B$1001,,0)</f>
        <v>Dollie Gadsden</v>
      </c>
      <c r="G661" s="2" t="str">
        <f>IF(_xlfn.XLOOKUP(orders!C661,customers!$A$1:$A$1001,customers!$C$1:$C$1001,,0)=0,"",_xlfn.XLOOKUP(orders!C661,customers!$A$1:$A$1001,customers!$C$1:$C$1001,,0))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1"/>
        <v>45.769999999999996</v>
      </c>
      <c r="N661" t="str">
        <f t="shared" si="33"/>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_xlfn.XLOOKUP(orders!C662,customers!$A$1:$A$1001,customers!$B$1:$B$1001,,0)</f>
        <v>Val Wakelin</v>
      </c>
      <c r="G662" s="2" t="str">
        <f>IF(_xlfn.XLOOKUP(orders!C662,customers!$A$1:$A$1001,customers!$C$1:$C$1001,,0)=0,"",_xlfn.XLOOKUP(orders!C662,customers!$A$1:$A$1001,customers!$C$1:$C$1001,,0))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1"/>
        <v>53.46</v>
      </c>
      <c r="N662" t="str">
        <f t="shared" si="33"/>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_xlfn.XLOOKUP(orders!C663,customers!$A$1:$A$1001,customers!$B$1:$B$1001,,0)</f>
        <v>Annie Campsall</v>
      </c>
      <c r="G663" s="2" t="str">
        <f>IF(_xlfn.XLOOKUP(orders!C663,customers!$A$1:$A$1001,customers!$C$1:$C$1001,,0)=0,"",_xlfn.XLOOKUP(orders!C663,customers!$A$1:$A$1001,customers!$C$1:$C$1001,,0))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1"/>
        <v>20.25</v>
      </c>
      <c r="N663" t="str">
        <f t="shared" si="33"/>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_xlfn.XLOOKUP(orders!C664,customers!$A$1:$A$1001,customers!$B$1:$B$1001,,0)</f>
        <v>Shermy Moseby</v>
      </c>
      <c r="G664" s="2" t="str">
        <f>IF(_xlfn.XLOOKUP(orders!C664,customers!$A$1:$A$1001,customers!$C$1:$C$1001,,0)=0,"",_xlfn.XLOOKUP(orders!C664,customers!$A$1:$A$1001,customers!$C$1:$C$1001,,0))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1"/>
        <v>148.92499999999998</v>
      </c>
      <c r="N664" t="str">
        <f t="shared" si="33"/>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_xlfn.XLOOKUP(orders!C665,customers!$A$1:$A$1001,customers!$B$1:$B$1001,,0)</f>
        <v>Corrie Wass</v>
      </c>
      <c r="G665" s="2" t="str">
        <f>IF(_xlfn.XLOOKUP(orders!C665,customers!$A$1:$A$1001,customers!$C$1:$C$1001,,0)=0,"",_xlfn.XLOOKUP(orders!C665,customers!$A$1:$A$1001,customers!$C$1:$C$1001,,0))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1"/>
        <v>67.5</v>
      </c>
      <c r="N665" t="str">
        <f t="shared" si="33"/>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_xlfn.XLOOKUP(orders!C666,customers!$A$1:$A$1001,customers!$B$1:$B$1001,,0)</f>
        <v>Ira Sjostrom</v>
      </c>
      <c r="G666" s="2" t="str">
        <f>IF(_xlfn.XLOOKUP(orders!C666,customers!$A$1:$A$1001,customers!$C$1:$C$1001,,0)=0,"",_xlfn.XLOOKUP(orders!C666,customers!$A$1:$A$1001,customers!$C$1:$C$1001,,0))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1"/>
        <v>72.900000000000006</v>
      </c>
      <c r="N666" t="str">
        <f t="shared" si="33"/>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_xlfn.XLOOKUP(orders!C667,customers!$A$1:$A$1001,customers!$B$1:$B$1001,,0)</f>
        <v>Ira Sjostrom</v>
      </c>
      <c r="G667" s="2" t="str">
        <f>IF(_xlfn.XLOOKUP(orders!C667,customers!$A$1:$A$1001,customers!$C$1:$C$1001,,0)=0,"",_xlfn.XLOOKUP(orders!C667,customers!$A$1:$A$1001,customers!$C$1:$C$1001,,0))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1"/>
        <v>7.77</v>
      </c>
      <c r="N667" t="str">
        <f t="shared" si="33"/>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_xlfn.XLOOKUP(orders!C668,customers!$A$1:$A$1001,customers!$B$1:$B$1001,,0)</f>
        <v>Jermaine Branchett</v>
      </c>
      <c r="G668" s="2" t="str">
        <f>IF(_xlfn.XLOOKUP(orders!C668,customers!$A$1:$A$1001,customers!$C$1:$C$1001,,0)=0,"",_xlfn.XLOOKUP(orders!C668,customers!$A$1:$A$1001,customers!$C$1:$C$1001,,0))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1"/>
        <v>91.539999999999992</v>
      </c>
      <c r="N668" t="str">
        <f t="shared" si="33"/>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_xlfn.XLOOKUP(orders!C669,customers!$A$1:$A$1001,customers!$B$1:$B$1001,,0)</f>
        <v>Nissie Rudland</v>
      </c>
      <c r="G669" s="2" t="str">
        <f>IF(_xlfn.XLOOKUP(orders!C669,customers!$A$1:$A$1001,customers!$C$1:$C$1001,,0)=0,"",_xlfn.XLOOKUP(orders!C669,customers!$A$1:$A$1001,customers!$C$1:$C$1001,,0))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1"/>
        <v>59.699999999999996</v>
      </c>
      <c r="N669" t="str">
        <f t="shared" si="33"/>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_xlfn.XLOOKUP(orders!C670,customers!$A$1:$A$1001,customers!$B$1:$B$1001,,0)</f>
        <v>Janella Millett</v>
      </c>
      <c r="G670" s="2" t="str">
        <f>IF(_xlfn.XLOOKUP(orders!C670,customers!$A$1:$A$1001,customers!$C$1:$C$1001,,0)=0,"",_xlfn.XLOOKUP(orders!C670,customers!$A$1:$A$1001,customers!$C$1:$C$1001,,0))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1"/>
        <v>137.42499999999998</v>
      </c>
      <c r="N670" t="str">
        <f t="shared" si="33"/>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_xlfn.XLOOKUP(orders!C671,customers!$A$1:$A$1001,customers!$B$1:$B$1001,,0)</f>
        <v>Ferdie Tourry</v>
      </c>
      <c r="G671" s="2" t="str">
        <f>IF(_xlfn.XLOOKUP(orders!C671,customers!$A$1:$A$1001,customers!$C$1:$C$1001,,0)=0,"",_xlfn.XLOOKUP(orders!C671,customers!$A$1:$A$1001,customers!$C$1:$C$1001,,0))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1"/>
        <v>66.929999999999993</v>
      </c>
      <c r="N671" t="str">
        <f t="shared" si="33"/>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_xlfn.XLOOKUP(orders!C672,customers!$A$1:$A$1001,customers!$B$1:$B$1001,,0)</f>
        <v>Cecil Weatherall</v>
      </c>
      <c r="G672" s="2" t="str">
        <f>IF(_xlfn.XLOOKUP(orders!C672,customers!$A$1:$A$1001,customers!$C$1:$C$1001,,0)=0,"",_xlfn.XLOOKUP(orders!C672,customers!$A$1:$A$1001,customers!$C$1:$C$1001,,0))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1"/>
        <v>13.095000000000001</v>
      </c>
      <c r="N672" t="str">
        <f t="shared" si="33"/>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_xlfn.XLOOKUP(orders!C673,customers!$A$1:$A$1001,customers!$B$1:$B$1001,,0)</f>
        <v>Gale Heindrick</v>
      </c>
      <c r="G673" s="2" t="str">
        <f>IF(_xlfn.XLOOKUP(orders!C673,customers!$A$1:$A$1001,customers!$C$1:$C$1001,,0)=0,"",_xlfn.XLOOKUP(orders!C673,customers!$A$1:$A$1001,customers!$C$1:$C$1001,,0))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1"/>
        <v>59.75</v>
      </c>
      <c r="N673" t="str">
        <f t="shared" si="33"/>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_xlfn.XLOOKUP(orders!C674,customers!$A$1:$A$1001,customers!$B$1:$B$1001,,0)</f>
        <v>Layne Imason</v>
      </c>
      <c r="G674" s="2" t="str">
        <f>IF(_xlfn.XLOOKUP(orders!C674,customers!$A$1:$A$1001,customers!$C$1:$C$1001,,0)=0,"",_xlfn.XLOOKUP(orders!C674,customers!$A$1:$A$1001,customers!$C$1:$C$1001,,0))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1"/>
        <v>43.650000000000006</v>
      </c>
      <c r="N674" t="str">
        <f t="shared" si="33"/>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_xlfn.XLOOKUP(orders!C675,customers!$A$1:$A$1001,customers!$B$1:$B$1001,,0)</f>
        <v>Hazel Saill</v>
      </c>
      <c r="G675" s="2" t="str">
        <f>IF(_xlfn.XLOOKUP(orders!C675,customers!$A$1:$A$1001,customers!$C$1:$C$1001,,0)=0,"",_xlfn.XLOOKUP(orders!C675,customers!$A$1:$A$1001,customers!$C$1:$C$1001,,0))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1"/>
        <v>82.5</v>
      </c>
      <c r="N675" t="str">
        <f t="shared" si="33"/>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_xlfn.XLOOKUP(orders!C676,customers!$A$1:$A$1001,customers!$B$1:$B$1001,,0)</f>
        <v>Hermann Larvor</v>
      </c>
      <c r="G676" s="2" t="str">
        <f>IF(_xlfn.XLOOKUP(orders!C676,customers!$A$1:$A$1001,customers!$C$1:$C$1001,,0)=0,"",_xlfn.XLOOKUP(orders!C676,customers!$A$1:$A$1001,customers!$C$1:$C$1001,,0))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1"/>
        <v>178.70999999999998</v>
      </c>
      <c r="N676" t="str">
        <f t="shared" si="33"/>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_xlfn.XLOOKUP(orders!C677,customers!$A$1:$A$1001,customers!$B$1:$B$1001,,0)</f>
        <v>Terri Lyford</v>
      </c>
      <c r="G677" s="2" t="str">
        <f>IF(_xlfn.XLOOKUP(orders!C677,customers!$A$1:$A$1001,customers!$C$1:$C$1001,,0)=0,"",_xlfn.XLOOKUP(orders!C677,customers!$A$1:$A$1001,customers!$C$1:$C$1001,,0))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1"/>
        <v>119.13999999999999</v>
      </c>
      <c r="N677" t="str">
        <f t="shared" si="33"/>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_xlfn.XLOOKUP(orders!C678,customers!$A$1:$A$1001,customers!$B$1:$B$1001,,0)</f>
        <v>Gabey Cogan</v>
      </c>
      <c r="G678" s="2" t="str">
        <f>IF(_xlfn.XLOOKUP(orders!C678,customers!$A$1:$A$1001,customers!$C$1:$C$1001,,0)=0,"",_xlfn.XLOOKUP(orders!C678,customers!$A$1:$A$1001,customers!$C$1:$C$1001,,0))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1"/>
        <v>47.55</v>
      </c>
      <c r="N678" t="str">
        <f t="shared" si="33"/>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_xlfn.XLOOKUP(orders!C679,customers!$A$1:$A$1001,customers!$B$1:$B$1001,,0)</f>
        <v>Charin Penwarden</v>
      </c>
      <c r="G679" s="2" t="str">
        <f>IF(_xlfn.XLOOKUP(orders!C679,customers!$A$1:$A$1001,customers!$C$1:$C$1001,,0)=0,"",_xlfn.XLOOKUP(orders!C679,customers!$A$1:$A$1001,customers!$C$1:$C$1001,,0))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1"/>
        <v>43.650000000000006</v>
      </c>
      <c r="N679" t="str">
        <f t="shared" si="33"/>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_xlfn.XLOOKUP(orders!C680,customers!$A$1:$A$1001,customers!$B$1:$B$1001,,0)</f>
        <v>Milty Middis</v>
      </c>
      <c r="G680" s="2" t="str">
        <f>IF(_xlfn.XLOOKUP(orders!C680,customers!$A$1:$A$1001,customers!$C$1:$C$1001,,0)=0,"",_xlfn.XLOOKUP(orders!C680,customers!$A$1:$A$1001,customers!$C$1:$C$1001,,0))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1"/>
        <v>178.70999999999998</v>
      </c>
      <c r="N680" t="str">
        <f t="shared" si="33"/>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_xlfn.XLOOKUP(orders!C681,customers!$A$1:$A$1001,customers!$B$1:$B$1001,,0)</f>
        <v>Adrianne Vairow</v>
      </c>
      <c r="G681" s="2" t="str">
        <f>IF(_xlfn.XLOOKUP(orders!C681,customers!$A$1:$A$1001,customers!$C$1:$C$1001,,0)=0,"",_xlfn.XLOOKUP(orders!C681,customers!$A$1:$A$1001,customers!$C$1:$C$1001,,0))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1"/>
        <v>27.484999999999996</v>
      </c>
      <c r="N681" t="str">
        <f t="shared" si="33"/>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_xlfn.XLOOKUP(orders!C682,customers!$A$1:$A$1001,customers!$B$1:$B$1001,,0)</f>
        <v>Anjanette Goldie</v>
      </c>
      <c r="G682" s="2" t="str">
        <f>IF(_xlfn.XLOOKUP(orders!C682,customers!$A$1:$A$1001,customers!$C$1:$C$1001,,0)=0,"",_xlfn.XLOOKUP(orders!C682,customers!$A$1:$A$1001,customers!$C$1:$C$1001,,0))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1"/>
        <v>56.25</v>
      </c>
      <c r="N682" t="str">
        <f t="shared" si="33"/>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_xlfn.XLOOKUP(orders!C683,customers!$A$1:$A$1001,customers!$B$1:$B$1001,,0)</f>
        <v>Nicky Ayris</v>
      </c>
      <c r="G683" s="2" t="str">
        <f>IF(_xlfn.XLOOKUP(orders!C683,customers!$A$1:$A$1001,customers!$C$1:$C$1001,,0)=0,"",_xlfn.XLOOKUP(orders!C683,customers!$A$1:$A$1001,customers!$C$1:$C$1001,,0))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1"/>
        <v>9.51</v>
      </c>
      <c r="N683" t="str">
        <f t="shared" si="33"/>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_xlfn.XLOOKUP(orders!C684,customers!$A$1:$A$1001,customers!$B$1:$B$1001,,0)</f>
        <v>Laryssa Benediktovich</v>
      </c>
      <c r="G684" s="2" t="str">
        <f>IF(_xlfn.XLOOKUP(orders!C684,customers!$A$1:$A$1001,customers!$C$1:$C$1001,,0)=0,"",_xlfn.XLOOKUP(orders!C684,customers!$A$1:$A$1001,customers!$C$1:$C$1001,,0))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1"/>
        <v>8.25</v>
      </c>
      <c r="N684" t="str">
        <f t="shared" si="33"/>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_xlfn.XLOOKUP(orders!C685,customers!$A$1:$A$1001,customers!$B$1:$B$1001,,0)</f>
        <v>Theo Jacobovitz</v>
      </c>
      <c r="G685" s="2" t="str">
        <f>IF(_xlfn.XLOOKUP(orders!C685,customers!$A$1:$A$1001,customers!$C$1:$C$1001,,0)=0,"",_xlfn.XLOOKUP(orders!C685,customers!$A$1:$A$1001,customers!$C$1:$C$1001,,0))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1"/>
        <v>46.62</v>
      </c>
      <c r="N685" t="str">
        <f t="shared" si="33"/>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_xlfn.XLOOKUP(orders!C686,customers!$A$1:$A$1001,customers!$B$1:$B$1001,,0)</f>
        <v>Becca Ableson</v>
      </c>
      <c r="G686" s="2" t="str">
        <f>IF(_xlfn.XLOOKUP(orders!C686,customers!$A$1:$A$1001,customers!$C$1:$C$1001,,0)=0,"",_xlfn.XLOOKUP(orders!C686,customers!$A$1:$A$1001,customers!$C$1:$C$1001,,0))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1"/>
        <v>71.699999999999989</v>
      </c>
      <c r="N686" t="str">
        <f t="shared" si="33"/>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_xlfn.XLOOKUP(orders!C687,customers!$A$1:$A$1001,customers!$B$1:$B$1001,,0)</f>
        <v>Jeno Druitt</v>
      </c>
      <c r="G687" s="2" t="str">
        <f>IF(_xlfn.XLOOKUP(orders!C687,customers!$A$1:$A$1001,customers!$C$1:$C$1001,,0)=0,"",_xlfn.XLOOKUP(orders!C687,customers!$A$1:$A$1001,customers!$C$1:$C$1001,,0))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1"/>
        <v>72.91</v>
      </c>
      <c r="N687" t="str">
        <f t="shared" si="33"/>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_xlfn.XLOOKUP(orders!C688,customers!$A$1:$A$1001,customers!$B$1:$B$1001,,0)</f>
        <v>Deonne Shortall</v>
      </c>
      <c r="G688" s="2" t="str">
        <f>IF(_xlfn.XLOOKUP(orders!C688,customers!$A$1:$A$1001,customers!$C$1:$C$1001,,0)=0,"",_xlfn.XLOOKUP(orders!C688,customers!$A$1:$A$1001,customers!$C$1:$C$1001,,0))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1"/>
        <v>8.0549999999999997</v>
      </c>
      <c r="N688" t="str">
        <f t="shared" si="33"/>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_xlfn.XLOOKUP(orders!C689,customers!$A$1:$A$1001,customers!$B$1:$B$1001,,0)</f>
        <v>Wilton Cottier</v>
      </c>
      <c r="G689" s="2" t="str">
        <f>IF(_xlfn.XLOOKUP(orders!C689,customers!$A$1:$A$1001,customers!$C$1:$C$1001,,0)=0,"",_xlfn.XLOOKUP(orders!C689,customers!$A$1:$A$1001,customers!$C$1:$C$1001,,0))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1"/>
        <v>16.5</v>
      </c>
      <c r="N689" t="str">
        <f t="shared" si="33"/>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_xlfn.XLOOKUP(orders!C690,customers!$A$1:$A$1001,customers!$B$1:$B$1001,,0)</f>
        <v>Kevan Grinsted</v>
      </c>
      <c r="G690" s="2" t="str">
        <f>IF(_xlfn.XLOOKUP(orders!C690,customers!$A$1:$A$1001,customers!$C$1:$C$1001,,0)=0,"",_xlfn.XLOOKUP(orders!C690,customers!$A$1:$A$1001,customers!$C$1:$C$1001,,0))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1"/>
        <v>64.75</v>
      </c>
      <c r="N690" t="str">
        <f t="shared" si="33"/>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_xlfn.XLOOKUP(orders!C691,customers!$A$1:$A$1001,customers!$B$1:$B$1001,,0)</f>
        <v>Dionne Skyner</v>
      </c>
      <c r="G691" s="2" t="str">
        <f>IF(_xlfn.XLOOKUP(orders!C691,customers!$A$1:$A$1001,customers!$C$1:$C$1001,,0)=0,"",_xlfn.XLOOKUP(orders!C691,customers!$A$1:$A$1001,customers!$C$1:$C$1001,,0))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1"/>
        <v>33.75</v>
      </c>
      <c r="N691" t="str">
        <f t="shared" si="33"/>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_xlfn.XLOOKUP(orders!C692,customers!$A$1:$A$1001,customers!$B$1:$B$1001,,0)</f>
        <v>Francesco Dressel</v>
      </c>
      <c r="G692" s="2" t="str">
        <f>IF(_xlfn.XLOOKUP(orders!C692,customers!$A$1:$A$1001,customers!$C$1:$C$1001,,0)=0,"",_xlfn.XLOOKUP(orders!C692,customers!$A$1:$A$1001,customers!$C$1:$C$1001,,0))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1"/>
        <v>178.70999999999998</v>
      </c>
      <c r="N692" t="str">
        <f t="shared" si="33"/>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_xlfn.XLOOKUP(orders!C693,customers!$A$1:$A$1001,customers!$B$1:$B$1001,,0)</f>
        <v>Jimmy Dymoke</v>
      </c>
      <c r="G693" s="2" t="str">
        <f>IF(_xlfn.XLOOKUP(orders!C693,customers!$A$1:$A$1001,customers!$C$1:$C$1001,,0)=0,"",_xlfn.XLOOKUP(orders!C693,customers!$A$1:$A$1001,customers!$C$1:$C$1001,,0))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1"/>
        <v>22.5</v>
      </c>
      <c r="N693" t="str">
        <f t="shared" si="33"/>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_xlfn.XLOOKUP(orders!C694,customers!$A$1:$A$1001,customers!$B$1:$B$1001,,0)</f>
        <v>Ambrosio Weinmann</v>
      </c>
      <c r="G694" s="2" t="str">
        <f>IF(_xlfn.XLOOKUP(orders!C694,customers!$A$1:$A$1001,customers!$C$1:$C$1001,,0)=0,"",_xlfn.XLOOKUP(orders!C694,customers!$A$1:$A$1001,customers!$C$1:$C$1001,,0))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1"/>
        <v>12.95</v>
      </c>
      <c r="N694" t="str">
        <f t="shared" si="33"/>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_xlfn.XLOOKUP(orders!C695,customers!$A$1:$A$1001,customers!$B$1:$B$1001,,0)</f>
        <v>Elden Andriessen</v>
      </c>
      <c r="G695" s="2" t="str">
        <f>IF(_xlfn.XLOOKUP(orders!C695,customers!$A$1:$A$1001,customers!$C$1:$C$1001,,0)=0,"",_xlfn.XLOOKUP(orders!C695,customers!$A$1:$A$1001,customers!$C$1:$C$1001,,0))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1"/>
        <v>51.749999999999993</v>
      </c>
      <c r="N695" t="str">
        <f t="shared" si="33"/>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_xlfn.XLOOKUP(orders!C696,customers!$A$1:$A$1001,customers!$B$1:$B$1001,,0)</f>
        <v>Roxie Deaconson</v>
      </c>
      <c r="G696" s="2" t="str">
        <f>IF(_xlfn.XLOOKUP(orders!C696,customers!$A$1:$A$1001,customers!$C$1:$C$1001,,0)=0,"",_xlfn.XLOOKUP(orders!C696,customers!$A$1:$A$1001,customers!$C$1:$C$1001,,0))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1"/>
        <v>36.450000000000003</v>
      </c>
      <c r="N696" t="str">
        <f t="shared" si="33"/>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_xlfn.XLOOKUP(orders!C697,customers!$A$1:$A$1001,customers!$B$1:$B$1001,,0)</f>
        <v>Davida Caro</v>
      </c>
      <c r="G697" s="2" t="str">
        <f>IF(_xlfn.XLOOKUP(orders!C697,customers!$A$1:$A$1001,customers!$C$1:$C$1001,,0)=0,"",_xlfn.XLOOKUP(orders!C697,customers!$A$1:$A$1001,customers!$C$1:$C$1001,,0))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1"/>
        <v>182.27499999999998</v>
      </c>
      <c r="N697" t="str">
        <f t="shared" si="33"/>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_xlfn.XLOOKUP(orders!C698,customers!$A$1:$A$1001,customers!$B$1:$B$1001,,0)</f>
        <v>Johna Bluck</v>
      </c>
      <c r="G698" s="2" t="str">
        <f>IF(_xlfn.XLOOKUP(orders!C698,customers!$A$1:$A$1001,customers!$C$1:$C$1001,,0)=0,"",_xlfn.XLOOKUP(orders!C698,customers!$A$1:$A$1001,customers!$C$1:$C$1001,,0))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1"/>
        <v>31.08</v>
      </c>
      <c r="N698" t="str">
        <f t="shared" si="33"/>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_xlfn.XLOOKUP(orders!C699,customers!$A$1:$A$1001,customers!$B$1:$B$1001,,0)</f>
        <v>Myrle Dearden</v>
      </c>
      <c r="G699" s="2" t="str">
        <f>IF(_xlfn.XLOOKUP(orders!C699,customers!$A$1:$A$1001,customers!$C$1:$C$1001,,0)=0,"",_xlfn.XLOOKUP(orders!C699,customers!$A$1:$A$1001,customers!$C$1:$C$1001,,0))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1"/>
        <v>20.25</v>
      </c>
      <c r="N699" t="str">
        <f t="shared" si="33"/>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_xlfn.XLOOKUP(orders!C700,customers!$A$1:$A$1001,customers!$B$1:$B$1001,,0)</f>
        <v>Jimmy Dymoke</v>
      </c>
      <c r="G700" s="2" t="str">
        <f>IF(_xlfn.XLOOKUP(orders!C700,customers!$A$1:$A$1001,customers!$C$1:$C$1001,,0)=0,"",_xlfn.XLOOKUP(orders!C700,customers!$A$1:$A$1001,customers!$C$1:$C$1001,,0))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1"/>
        <v>25.9</v>
      </c>
      <c r="N700" t="str">
        <f t="shared" si="33"/>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_xlfn.XLOOKUP(orders!C701,customers!$A$1:$A$1001,customers!$B$1:$B$1001,,0)</f>
        <v>Orland Tadman</v>
      </c>
      <c r="G701" s="2" t="str">
        <f>IF(_xlfn.XLOOKUP(orders!C701,customers!$A$1:$A$1001,customers!$C$1:$C$1001,,0)=0,"",_xlfn.XLOOKUP(orders!C701,customers!$A$1:$A$1001,customers!$C$1:$C$1001,,0))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1"/>
        <v>23.88</v>
      </c>
      <c r="N701" t="str">
        <f t="shared" si="33"/>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_xlfn.XLOOKUP(orders!C702,customers!$A$1:$A$1001,customers!$B$1:$B$1001,,0)</f>
        <v>Barrett Gudde</v>
      </c>
      <c r="G702" s="2" t="str">
        <f>IF(_xlfn.XLOOKUP(orders!C702,customers!$A$1:$A$1001,customers!$C$1:$C$1001,,0)=0,"",_xlfn.XLOOKUP(orders!C702,customers!$A$1:$A$1001,customers!$C$1:$C$1001,,0))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1"/>
        <v>19.02</v>
      </c>
      <c r="N702" t="str">
        <f t="shared" si="33"/>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_xlfn.XLOOKUP(orders!C703,customers!$A$1:$A$1001,customers!$B$1:$B$1001,,0)</f>
        <v>Nathan Sictornes</v>
      </c>
      <c r="G703" s="2" t="str">
        <f>IF(_xlfn.XLOOKUP(orders!C703,customers!$A$1:$A$1001,customers!$C$1:$C$1001,,0)=0,"",_xlfn.XLOOKUP(orders!C703,customers!$A$1:$A$1001,customers!$C$1:$C$1001,,0))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1"/>
        <v>29.849999999999998</v>
      </c>
      <c r="N703" t="str">
        <f t="shared" si="33"/>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_xlfn.XLOOKUP(orders!C704,customers!$A$1:$A$1001,customers!$B$1:$B$1001,,0)</f>
        <v>Vivyan Dunning</v>
      </c>
      <c r="G704" s="2" t="str">
        <f>IF(_xlfn.XLOOKUP(orders!C704,customers!$A$1:$A$1001,customers!$C$1:$C$1001,,0)=0,"",_xlfn.XLOOKUP(orders!C704,customers!$A$1:$A$1001,customers!$C$1:$C$1001,,0))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1"/>
        <v>7.77</v>
      </c>
      <c r="N704" t="str">
        <f t="shared" si="33"/>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_xlfn.XLOOKUP(orders!C705,customers!$A$1:$A$1001,customers!$B$1:$B$1001,,0)</f>
        <v>Doralin Baison</v>
      </c>
      <c r="G705" s="2" t="str">
        <f>IF(_xlfn.XLOOKUP(orders!C705,customers!$A$1:$A$1001,customers!$C$1:$C$1001,,0)=0,"",_xlfn.XLOOKUP(orders!C705,customers!$A$1:$A$1001,customers!$C$1:$C$1001,,0))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1"/>
        <v>119.13999999999999</v>
      </c>
      <c r="N705" t="str">
        <f t="shared" si="33"/>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_xlfn.XLOOKUP(orders!C706,customers!$A$1:$A$1001,customers!$B$1:$B$1001,,0)</f>
        <v>Josefina Ferens</v>
      </c>
      <c r="G706" s="2" t="str">
        <f>IF(_xlfn.XLOOKUP(orders!C706,customers!$A$1:$A$1001,customers!$C$1:$C$1001,,0)=0,"",_xlfn.XLOOKUP(orders!C706,customers!$A$1:$A$1001,customers!$C$1:$C$1001,,0))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1"/>
        <v>21.87</v>
      </c>
      <c r="N706" t="str">
        <f t="shared" si="33"/>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_xlfn.XLOOKUP(orders!C707,customers!$A$1:$A$1001,customers!$B$1:$B$1001,,0)</f>
        <v>Shelley Gehring</v>
      </c>
      <c r="G707" s="2" t="str">
        <f>IF(_xlfn.XLOOKUP(orders!C707,customers!$A$1:$A$1001,customers!$C$1:$C$1001,,0)=0,"",_xlfn.XLOOKUP(orders!C707,customers!$A$1:$A$1001,customers!$C$1:$C$1001,,0))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4">L707*E707</f>
        <v>17.82</v>
      </c>
      <c r="N707" t="str">
        <f t="shared" si="33"/>
        <v>Excelsa</v>
      </c>
      <c r="O707" t="str">
        <f t="shared" ref="O707:O770" si="35">IF(J707="M","Medium",IF(J707= "L", "Light",IF(J707="D", "Dark","")))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_xlfn.XLOOKUP(orders!C708,customers!$A$1:$A$1001,customers!$B$1:$B$1001,,0)</f>
        <v>Barrie Fallowes</v>
      </c>
      <c r="G708" s="2" t="str">
        <f>IF(_xlfn.XLOOKUP(orders!C708,customers!$A$1:$A$1001,customers!$C$1:$C$1001,,0)=0,"",_xlfn.XLOOKUP(orders!C708,customers!$A$1:$A$1001,customers!$C$1:$C$1001,,0))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4"/>
        <v>12.375</v>
      </c>
      <c r="N708" t="str">
        <f t="shared" si="33"/>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_xlfn.XLOOKUP(orders!C709,customers!$A$1:$A$1001,customers!$B$1:$B$1001,,0)</f>
        <v>Nicolas Aiton</v>
      </c>
      <c r="G709" s="2" t="str">
        <f>IF(_xlfn.XLOOKUP(orders!C709,customers!$A$1:$A$1001,customers!$C$1:$C$1001,,0)=0,"",_xlfn.XLOOKUP(orders!C709,customers!$A$1:$A$1001,customers!$C$1:$C$1001,,0))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4"/>
        <v>25.9</v>
      </c>
      <c r="N709" t="str">
        <f t="shared" si="33"/>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_xlfn.XLOOKUP(orders!C710,customers!$A$1:$A$1001,customers!$B$1:$B$1001,,0)</f>
        <v>Shelli De Banke</v>
      </c>
      <c r="G710" s="2" t="str">
        <f>IF(_xlfn.XLOOKUP(orders!C710,customers!$A$1:$A$1001,customers!$C$1:$C$1001,,0)=0,"",_xlfn.XLOOKUP(orders!C710,customers!$A$1:$A$1001,customers!$C$1:$C$1001,,0))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4"/>
        <v>13.5</v>
      </c>
      <c r="N710" t="str">
        <f t="shared" si="33"/>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_xlfn.XLOOKUP(orders!C711,customers!$A$1:$A$1001,customers!$B$1:$B$1001,,0)</f>
        <v>Lyell Murch</v>
      </c>
      <c r="G711" s="2" t="str">
        <f>IF(_xlfn.XLOOKUP(orders!C711,customers!$A$1:$A$1001,customers!$C$1:$C$1001,,0)=0,"",_xlfn.XLOOKUP(orders!C711,customers!$A$1:$A$1001,customers!$C$1:$C$1001,,0))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4"/>
        <v>17.82</v>
      </c>
      <c r="N711" t="str">
        <f t="shared" si="33"/>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_xlfn.XLOOKUP(orders!C712,customers!$A$1:$A$1001,customers!$B$1:$B$1001,,0)</f>
        <v>Stearne Count</v>
      </c>
      <c r="G712" s="2" t="str">
        <f>IF(_xlfn.XLOOKUP(orders!C712,customers!$A$1:$A$1001,customers!$C$1:$C$1001,,0)=0,"",_xlfn.XLOOKUP(orders!C712,customers!$A$1:$A$1001,customers!$C$1:$C$1001,,0))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4"/>
        <v>24.75</v>
      </c>
      <c r="N712" t="str">
        <f t="shared" ref="N712:N775" si="36">IF(I712="Rob","Robusta",IF(I712="Exc","Excelsa",IF(I712="Ara","Arabica",IF(I712="Lib","Liberica"))))</f>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_xlfn.XLOOKUP(orders!C713,customers!$A$1:$A$1001,customers!$B$1:$B$1001,,0)</f>
        <v>Selia Ragles</v>
      </c>
      <c r="G713" s="2" t="str">
        <f>IF(_xlfn.XLOOKUP(orders!C713,customers!$A$1:$A$1001,customers!$C$1:$C$1001,,0)=0,"",_xlfn.XLOOKUP(orders!C713,customers!$A$1:$A$1001,customers!$C$1:$C$1001,,0))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4"/>
        <v>17.91</v>
      </c>
      <c r="N713" t="str">
        <f t="shared" si="36"/>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_xlfn.XLOOKUP(orders!C714,customers!$A$1:$A$1001,customers!$B$1:$B$1001,,0)</f>
        <v>Silas Deehan</v>
      </c>
      <c r="G714" s="2" t="str">
        <f>IF(_xlfn.XLOOKUP(orders!C714,customers!$A$1:$A$1001,customers!$C$1:$C$1001,,0)=0,"",_xlfn.XLOOKUP(orders!C714,customers!$A$1:$A$1001,customers!$C$1:$C$1001,,0))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4"/>
        <v>16.5</v>
      </c>
      <c r="N714" t="str">
        <f t="shared" si="36"/>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_xlfn.XLOOKUP(orders!C715,customers!$A$1:$A$1001,customers!$B$1:$B$1001,,0)</f>
        <v>Sacha Bruun</v>
      </c>
      <c r="G715" s="2" t="str">
        <f>IF(_xlfn.XLOOKUP(orders!C715,customers!$A$1:$A$1001,customers!$C$1:$C$1001,,0)=0,"",_xlfn.XLOOKUP(orders!C715,customers!$A$1:$A$1001,customers!$C$1:$C$1001,,0))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4"/>
        <v>2.9849999999999999</v>
      </c>
      <c r="N715" t="str">
        <f t="shared" si="36"/>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_xlfn.XLOOKUP(orders!C716,customers!$A$1:$A$1001,customers!$B$1:$B$1001,,0)</f>
        <v>Alon Pllu</v>
      </c>
      <c r="G716" s="2" t="str">
        <f>IF(_xlfn.XLOOKUP(orders!C716,customers!$A$1:$A$1001,customers!$C$1:$C$1001,,0)=0,"",_xlfn.XLOOKUP(orders!C716,customers!$A$1:$A$1001,customers!$C$1:$C$1001,,0))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4"/>
        <v>14.58</v>
      </c>
      <c r="N716" t="str">
        <f t="shared" si="36"/>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_xlfn.XLOOKUP(orders!C717,customers!$A$1:$A$1001,customers!$B$1:$B$1001,,0)</f>
        <v>Gilberto Cornier</v>
      </c>
      <c r="G717" s="2" t="str">
        <f>IF(_xlfn.XLOOKUP(orders!C717,customers!$A$1:$A$1001,customers!$C$1:$C$1001,,0)=0,"",_xlfn.XLOOKUP(orders!C717,customers!$A$1:$A$1001,customers!$C$1:$C$1001,,0))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4"/>
        <v>89.1</v>
      </c>
      <c r="N717" t="str">
        <f t="shared" si="36"/>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_xlfn.XLOOKUP(orders!C718,customers!$A$1:$A$1001,customers!$B$1:$B$1001,,0)</f>
        <v>Jimmy Dymoke</v>
      </c>
      <c r="G718" s="2" t="str">
        <f>IF(_xlfn.XLOOKUP(orders!C718,customers!$A$1:$A$1001,customers!$C$1:$C$1001,,0)=0,"",_xlfn.XLOOKUP(orders!C718,customers!$A$1:$A$1001,customers!$C$1:$C$1001,,0))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4"/>
        <v>35.849999999999994</v>
      </c>
      <c r="N718" t="str">
        <f t="shared" si="36"/>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_xlfn.XLOOKUP(orders!C719,customers!$A$1:$A$1001,customers!$B$1:$B$1001,,0)</f>
        <v>Willabella Harvison</v>
      </c>
      <c r="G719" s="2" t="str">
        <f>IF(_xlfn.XLOOKUP(orders!C719,customers!$A$1:$A$1001,customers!$C$1:$C$1001,,0)=0,"",_xlfn.XLOOKUP(orders!C719,customers!$A$1:$A$1001,customers!$C$1:$C$1001,,0))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4"/>
        <v>68.655000000000001</v>
      </c>
      <c r="N719" t="str">
        <f t="shared" si="36"/>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_xlfn.XLOOKUP(orders!C720,customers!$A$1:$A$1001,customers!$B$1:$B$1001,,0)</f>
        <v>Darice Heaford</v>
      </c>
      <c r="G720" s="2" t="str">
        <f>IF(_xlfn.XLOOKUP(orders!C720,customers!$A$1:$A$1001,customers!$C$1:$C$1001,,0)=0,"",_xlfn.XLOOKUP(orders!C720,customers!$A$1:$A$1001,customers!$C$1:$C$1001,,0))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4"/>
        <v>38.849999999999994</v>
      </c>
      <c r="N720" t="str">
        <f t="shared" si="36"/>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_xlfn.XLOOKUP(orders!C721,customers!$A$1:$A$1001,customers!$B$1:$B$1001,,0)</f>
        <v>Granger Fantham</v>
      </c>
      <c r="G721" s="2" t="str">
        <f>IF(_xlfn.XLOOKUP(orders!C721,customers!$A$1:$A$1001,customers!$C$1:$C$1001,,0)=0,"",_xlfn.XLOOKUP(orders!C721,customers!$A$1:$A$1001,customers!$C$1:$C$1001,,0))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4"/>
        <v>79.25</v>
      </c>
      <c r="N721" t="str">
        <f t="shared" si="36"/>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_xlfn.XLOOKUP(orders!C722,customers!$A$1:$A$1001,customers!$B$1:$B$1001,,0)</f>
        <v>Reynolds Crookshanks</v>
      </c>
      <c r="G722" s="2" t="str">
        <f>IF(_xlfn.XLOOKUP(orders!C722,customers!$A$1:$A$1001,customers!$C$1:$C$1001,,0)=0,"",_xlfn.XLOOKUP(orders!C722,customers!$A$1:$A$1001,customers!$C$1:$C$1001,,0))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4"/>
        <v>36.450000000000003</v>
      </c>
      <c r="N722" t="str">
        <f t="shared" si="36"/>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_xlfn.XLOOKUP(orders!C723,customers!$A$1:$A$1001,customers!$B$1:$B$1001,,0)</f>
        <v>Niels Leake</v>
      </c>
      <c r="G723" s="2" t="str">
        <f>IF(_xlfn.XLOOKUP(orders!C723,customers!$A$1:$A$1001,customers!$C$1:$C$1001,,0)=0,"",_xlfn.XLOOKUP(orders!C723,customers!$A$1:$A$1001,customers!$C$1:$C$1001,,0))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4"/>
        <v>8.9550000000000001</v>
      </c>
      <c r="N723" t="str">
        <f t="shared" si="36"/>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_xlfn.XLOOKUP(orders!C724,customers!$A$1:$A$1001,customers!$B$1:$B$1001,,0)</f>
        <v>Hetti Measures</v>
      </c>
      <c r="G724" s="2" t="str">
        <f>IF(_xlfn.XLOOKUP(orders!C724,customers!$A$1:$A$1001,customers!$C$1:$C$1001,,0)=0,"",_xlfn.XLOOKUP(orders!C724,customers!$A$1:$A$1001,customers!$C$1:$C$1001,,0))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4"/>
        <v>24.3</v>
      </c>
      <c r="N724" t="str">
        <f t="shared" si="36"/>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_xlfn.XLOOKUP(orders!C725,customers!$A$1:$A$1001,customers!$B$1:$B$1001,,0)</f>
        <v>Gay Eilhersen</v>
      </c>
      <c r="G725" s="2" t="str">
        <f>IF(_xlfn.XLOOKUP(orders!C725,customers!$A$1:$A$1001,customers!$C$1:$C$1001,,0)=0,"",_xlfn.XLOOKUP(orders!C725,customers!$A$1:$A$1001,customers!$C$1:$C$1001,,0))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4"/>
        <v>63.249999999999993</v>
      </c>
      <c r="N725" t="str">
        <f t="shared" si="36"/>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_xlfn.XLOOKUP(orders!C726,customers!$A$1:$A$1001,customers!$B$1:$B$1001,,0)</f>
        <v>Nico Hubert</v>
      </c>
      <c r="G726" s="2" t="str">
        <f>IF(_xlfn.XLOOKUP(orders!C726,customers!$A$1:$A$1001,customers!$C$1:$C$1001,,0)=0,"",_xlfn.XLOOKUP(orders!C726,customers!$A$1:$A$1001,customers!$C$1:$C$1001,,0))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4"/>
        <v>6.75</v>
      </c>
      <c r="N726" t="str">
        <f t="shared" si="36"/>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_xlfn.XLOOKUP(orders!C727,customers!$A$1:$A$1001,customers!$B$1:$B$1001,,0)</f>
        <v>Cristina Aleixo</v>
      </c>
      <c r="G727" s="2" t="str">
        <f>IF(_xlfn.XLOOKUP(orders!C727,customers!$A$1:$A$1001,customers!$C$1:$C$1001,,0)=0,"",_xlfn.XLOOKUP(orders!C727,customers!$A$1:$A$1001,customers!$C$1:$C$1001,,0))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4"/>
        <v>23.31</v>
      </c>
      <c r="N727" t="str">
        <f t="shared" si="36"/>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_xlfn.XLOOKUP(orders!C728,customers!$A$1:$A$1001,customers!$B$1:$B$1001,,0)</f>
        <v>Derrek Allpress</v>
      </c>
      <c r="G728" s="2" t="str">
        <f>IF(_xlfn.XLOOKUP(orders!C728,customers!$A$1:$A$1001,customers!$C$1:$C$1001,,0)=0,"",_xlfn.XLOOKUP(orders!C728,customers!$A$1:$A$1001,customers!$C$1:$C$1001,,0))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4"/>
        <v>145.82</v>
      </c>
      <c r="N728" t="str">
        <f t="shared" si="36"/>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_xlfn.XLOOKUP(orders!C729,customers!$A$1:$A$1001,customers!$B$1:$B$1001,,0)</f>
        <v>Rikki Tomkowicz</v>
      </c>
      <c r="G729" s="2" t="str">
        <f>IF(_xlfn.XLOOKUP(orders!C729,customers!$A$1:$A$1001,customers!$C$1:$C$1001,,0)=0,"",_xlfn.XLOOKUP(orders!C729,customers!$A$1:$A$1001,customers!$C$1:$C$1001,,0))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4"/>
        <v>29.849999999999998</v>
      </c>
      <c r="N729" t="str">
        <f t="shared" si="36"/>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_xlfn.XLOOKUP(orders!C730,customers!$A$1:$A$1001,customers!$B$1:$B$1001,,0)</f>
        <v>Rochette Huscroft</v>
      </c>
      <c r="G730" s="2" t="str">
        <f>IF(_xlfn.XLOOKUP(orders!C730,customers!$A$1:$A$1001,customers!$C$1:$C$1001,,0)=0,"",_xlfn.XLOOKUP(orders!C730,customers!$A$1:$A$1001,customers!$C$1:$C$1001,,0))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4"/>
        <v>21.87</v>
      </c>
      <c r="N730" t="str">
        <f t="shared" si="36"/>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_xlfn.XLOOKUP(orders!C731,customers!$A$1:$A$1001,customers!$B$1:$B$1001,,0)</f>
        <v>Selle Scurrer</v>
      </c>
      <c r="G731" s="2" t="str">
        <f>IF(_xlfn.XLOOKUP(orders!C731,customers!$A$1:$A$1001,customers!$C$1:$C$1001,,0)=0,"",_xlfn.XLOOKUP(orders!C731,customers!$A$1:$A$1001,customers!$C$1:$C$1001,,0))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4"/>
        <v>4.3650000000000002</v>
      </c>
      <c r="N731" t="str">
        <f t="shared" si="36"/>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_xlfn.XLOOKUP(orders!C732,customers!$A$1:$A$1001,customers!$B$1:$B$1001,,0)</f>
        <v>Andie Rudram</v>
      </c>
      <c r="G732" s="2" t="str">
        <f>IF(_xlfn.XLOOKUP(orders!C732,customers!$A$1:$A$1001,customers!$C$1:$C$1001,,0)=0,"",_xlfn.XLOOKUP(orders!C732,customers!$A$1:$A$1001,customers!$C$1:$C$1001,,0))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4"/>
        <v>36.454999999999998</v>
      </c>
      <c r="N732" t="str">
        <f t="shared" si="36"/>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_xlfn.XLOOKUP(orders!C733,customers!$A$1:$A$1001,customers!$B$1:$B$1001,,0)</f>
        <v>Leta Clarricoates</v>
      </c>
      <c r="G733" s="2" t="str">
        <f>IF(_xlfn.XLOOKUP(orders!C733,customers!$A$1:$A$1001,customers!$C$1:$C$1001,,0)=0,"",_xlfn.XLOOKUP(orders!C733,customers!$A$1:$A$1001,customers!$C$1:$C$1001,,0))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4"/>
        <v>15.54</v>
      </c>
      <c r="N733" t="str">
        <f t="shared" si="36"/>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_xlfn.XLOOKUP(orders!C734,customers!$A$1:$A$1001,customers!$B$1:$B$1001,,0)</f>
        <v>Jacquelyn Maha</v>
      </c>
      <c r="G734" s="2" t="str">
        <f>IF(_xlfn.XLOOKUP(orders!C734,customers!$A$1:$A$1001,customers!$C$1:$C$1001,,0)=0,"",_xlfn.XLOOKUP(orders!C734,customers!$A$1:$A$1001,customers!$C$1:$C$1001,,0))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4"/>
        <v>8.91</v>
      </c>
      <c r="N734" t="str">
        <f t="shared" si="36"/>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_xlfn.XLOOKUP(orders!C735,customers!$A$1:$A$1001,customers!$B$1:$B$1001,,0)</f>
        <v>Glory Clemon</v>
      </c>
      <c r="G735" s="2" t="str">
        <f>IF(_xlfn.XLOOKUP(orders!C735,customers!$A$1:$A$1001,customers!$C$1:$C$1001,,0)=0,"",_xlfn.XLOOKUP(orders!C735,customers!$A$1:$A$1001,customers!$C$1:$C$1001,,0))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4"/>
        <v>100.39499999999998</v>
      </c>
      <c r="N735" t="str">
        <f t="shared" si="36"/>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_xlfn.XLOOKUP(orders!C736,customers!$A$1:$A$1001,customers!$B$1:$B$1001,,0)</f>
        <v>Alica Kift</v>
      </c>
      <c r="G736" s="2" t="str">
        <f>IF(_xlfn.XLOOKUP(orders!C736,customers!$A$1:$A$1001,customers!$C$1:$C$1001,,0)=0,"",_xlfn.XLOOKUP(orders!C736,customers!$A$1:$A$1001,customers!$C$1:$C$1001,,0))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4"/>
        <v>13.424999999999997</v>
      </c>
      <c r="N736" t="str">
        <f t="shared" si="36"/>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_xlfn.XLOOKUP(orders!C737,customers!$A$1:$A$1001,customers!$B$1:$B$1001,,0)</f>
        <v>Babb Pollins</v>
      </c>
      <c r="G737" s="2" t="str">
        <f>IF(_xlfn.XLOOKUP(orders!C737,customers!$A$1:$A$1001,customers!$C$1:$C$1001,,0)=0,"",_xlfn.XLOOKUP(orders!C737,customers!$A$1:$A$1001,customers!$C$1:$C$1001,,0))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4"/>
        <v>21.87</v>
      </c>
      <c r="N737" t="str">
        <f t="shared" si="36"/>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_xlfn.XLOOKUP(orders!C738,customers!$A$1:$A$1001,customers!$B$1:$B$1001,,0)</f>
        <v>Jarret Toye</v>
      </c>
      <c r="G738" s="2" t="str">
        <f>IF(_xlfn.XLOOKUP(orders!C738,customers!$A$1:$A$1001,customers!$C$1:$C$1001,,0)=0,"",_xlfn.XLOOKUP(orders!C738,customers!$A$1:$A$1001,customers!$C$1:$C$1001,,0))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4"/>
        <v>25.9</v>
      </c>
      <c r="N738" t="str">
        <f t="shared" si="36"/>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_xlfn.XLOOKUP(orders!C739,customers!$A$1:$A$1001,customers!$B$1:$B$1001,,0)</f>
        <v>Carlie Linskill</v>
      </c>
      <c r="G739" s="2" t="str">
        <f>IF(_xlfn.XLOOKUP(orders!C739,customers!$A$1:$A$1001,customers!$C$1:$C$1001,,0)=0,"",_xlfn.XLOOKUP(orders!C739,customers!$A$1:$A$1001,customers!$C$1:$C$1001,,0))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4"/>
        <v>56.25</v>
      </c>
      <c r="N739" t="str">
        <f t="shared" si="36"/>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_xlfn.XLOOKUP(orders!C740,customers!$A$1:$A$1001,customers!$B$1:$B$1001,,0)</f>
        <v>Natal Vigrass</v>
      </c>
      <c r="G740" s="2" t="str">
        <f>IF(_xlfn.XLOOKUP(orders!C740,customers!$A$1:$A$1001,customers!$C$1:$C$1001,,0)=0,"",_xlfn.XLOOKUP(orders!C740,customers!$A$1:$A$1001,customers!$C$1:$C$1001,,0))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4"/>
        <v>10.754999999999999</v>
      </c>
      <c r="N740" t="str">
        <f t="shared" si="36"/>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_xlfn.XLOOKUP(orders!C741,customers!$A$1:$A$1001,customers!$B$1:$B$1001,,0)</f>
        <v>Jimmy Dymoke</v>
      </c>
      <c r="G741" s="2" t="str">
        <f>IF(_xlfn.XLOOKUP(orders!C741,customers!$A$1:$A$1001,customers!$C$1:$C$1001,,0)=0,"",_xlfn.XLOOKUP(orders!C741,customers!$A$1:$A$1001,customers!$C$1:$C$1001,,0))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4"/>
        <v>18.225000000000001</v>
      </c>
      <c r="N741" t="str">
        <f t="shared" si="36"/>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_xlfn.XLOOKUP(orders!C742,customers!$A$1:$A$1001,customers!$B$1:$B$1001,,0)</f>
        <v>Kandace Cragell</v>
      </c>
      <c r="G742" s="2" t="str">
        <f>IF(_xlfn.XLOOKUP(orders!C742,customers!$A$1:$A$1001,customers!$C$1:$C$1001,,0)=0,"",_xlfn.XLOOKUP(orders!C742,customers!$A$1:$A$1001,customers!$C$1:$C$1001,,0))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4"/>
        <v>28.679999999999996</v>
      </c>
      <c r="N742" t="str">
        <f t="shared" si="36"/>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_xlfn.XLOOKUP(orders!C743,customers!$A$1:$A$1001,customers!$B$1:$B$1001,,0)</f>
        <v>Lyon Ibert</v>
      </c>
      <c r="G743" s="2" t="str">
        <f>IF(_xlfn.XLOOKUP(orders!C743,customers!$A$1:$A$1001,customers!$C$1:$C$1001,,0)=0,"",_xlfn.XLOOKUP(orders!C743,customers!$A$1:$A$1001,customers!$C$1:$C$1001,,0))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4"/>
        <v>8.73</v>
      </c>
      <c r="N743" t="str">
        <f t="shared" si="36"/>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_xlfn.XLOOKUP(orders!C744,customers!$A$1:$A$1001,customers!$B$1:$B$1001,,0)</f>
        <v>Reese Lidgey</v>
      </c>
      <c r="G744" s="2" t="str">
        <f>IF(_xlfn.XLOOKUP(orders!C744,customers!$A$1:$A$1001,customers!$C$1:$C$1001,,0)=0,"",_xlfn.XLOOKUP(orders!C744,customers!$A$1:$A$1001,customers!$C$1:$C$1001,,0))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4"/>
        <v>58.2</v>
      </c>
      <c r="N744" t="str">
        <f t="shared" si="36"/>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_xlfn.XLOOKUP(orders!C745,customers!$A$1:$A$1001,customers!$B$1:$B$1001,,0)</f>
        <v>Tersina Castagne</v>
      </c>
      <c r="G745" s="2" t="str">
        <f>IF(_xlfn.XLOOKUP(orders!C745,customers!$A$1:$A$1001,customers!$C$1:$C$1001,,0)=0,"",_xlfn.XLOOKUP(orders!C745,customers!$A$1:$A$1001,customers!$C$1:$C$1001,,0))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4"/>
        <v>17.91</v>
      </c>
      <c r="N745" t="str">
        <f t="shared" si="36"/>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_xlfn.XLOOKUP(orders!C746,customers!$A$1:$A$1001,customers!$B$1:$B$1001,,0)</f>
        <v>Samuele Klaaassen</v>
      </c>
      <c r="G746" s="2" t="str">
        <f>IF(_xlfn.XLOOKUP(orders!C746,customers!$A$1:$A$1001,customers!$C$1:$C$1001,,0)=0,"",_xlfn.XLOOKUP(orders!C746,customers!$A$1:$A$1001,customers!$C$1:$C$1001,,0))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4"/>
        <v>17.91</v>
      </c>
      <c r="N746" t="str">
        <f t="shared" si="36"/>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_xlfn.XLOOKUP(orders!C747,customers!$A$1:$A$1001,customers!$B$1:$B$1001,,0)</f>
        <v>Jordana Halden</v>
      </c>
      <c r="G747" s="2" t="str">
        <f>IF(_xlfn.XLOOKUP(orders!C747,customers!$A$1:$A$1001,customers!$C$1:$C$1001,,0)=0,"",_xlfn.XLOOKUP(orders!C747,customers!$A$1:$A$1001,customers!$C$1:$C$1001,,0))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4"/>
        <v>14.58</v>
      </c>
      <c r="N747" t="str">
        <f t="shared" si="36"/>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_xlfn.XLOOKUP(orders!C748,customers!$A$1:$A$1001,customers!$B$1:$B$1001,,0)</f>
        <v>Hussein Olliff</v>
      </c>
      <c r="G748" s="2" t="str">
        <f>IF(_xlfn.XLOOKUP(orders!C748,customers!$A$1:$A$1001,customers!$C$1:$C$1001,,0)=0,"",_xlfn.XLOOKUP(orders!C748,customers!$A$1:$A$1001,customers!$C$1:$C$1001,,0))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4"/>
        <v>33.75</v>
      </c>
      <c r="N748" t="str">
        <f t="shared" si="36"/>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_xlfn.XLOOKUP(orders!C749,customers!$A$1:$A$1001,customers!$B$1:$B$1001,,0)</f>
        <v>Teddi Quadri</v>
      </c>
      <c r="G749" s="2" t="str">
        <f>IF(_xlfn.XLOOKUP(orders!C749,customers!$A$1:$A$1001,customers!$C$1:$C$1001,,0)=0,"",_xlfn.XLOOKUP(orders!C749,customers!$A$1:$A$1001,customers!$C$1:$C$1001,,0))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4"/>
        <v>34.92</v>
      </c>
      <c r="N749" t="str">
        <f t="shared" si="36"/>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_xlfn.XLOOKUP(orders!C750,customers!$A$1:$A$1001,customers!$B$1:$B$1001,,0)</f>
        <v>Felita Eshmade</v>
      </c>
      <c r="G750" s="2" t="str">
        <f>IF(_xlfn.XLOOKUP(orders!C750,customers!$A$1:$A$1001,customers!$C$1:$C$1001,,0)=0,"",_xlfn.XLOOKUP(orders!C750,customers!$A$1:$A$1001,customers!$C$1:$C$1001,,0))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4"/>
        <v>14.58</v>
      </c>
      <c r="N750" t="str">
        <f t="shared" si="36"/>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_xlfn.XLOOKUP(orders!C751,customers!$A$1:$A$1001,customers!$B$1:$B$1001,,0)</f>
        <v>Melodie OIlier</v>
      </c>
      <c r="G751" s="2" t="str">
        <f>IF(_xlfn.XLOOKUP(orders!C751,customers!$A$1:$A$1001,customers!$C$1:$C$1001,,0)=0,"",_xlfn.XLOOKUP(orders!C751,customers!$A$1:$A$1001,customers!$C$1:$C$1001,,0))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4"/>
        <v>5.3699999999999992</v>
      </c>
      <c r="N751" t="str">
        <f t="shared" si="36"/>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_xlfn.XLOOKUP(orders!C752,customers!$A$1:$A$1001,customers!$B$1:$B$1001,,0)</f>
        <v>Hazel Iacopini</v>
      </c>
      <c r="G752" s="2" t="str">
        <f>IF(_xlfn.XLOOKUP(orders!C752,customers!$A$1:$A$1001,customers!$C$1:$C$1001,,0)=0,"",_xlfn.XLOOKUP(orders!C752,customers!$A$1:$A$1001,customers!$C$1:$C$1001,,0))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4"/>
        <v>5.97</v>
      </c>
      <c r="N752" t="str">
        <f t="shared" si="36"/>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_xlfn.XLOOKUP(orders!C753,customers!$A$1:$A$1001,customers!$B$1:$B$1001,,0)</f>
        <v>Vinny Shoebotham</v>
      </c>
      <c r="G753" s="2" t="str">
        <f>IF(_xlfn.XLOOKUP(orders!C753,customers!$A$1:$A$1001,customers!$C$1:$C$1001,,0)=0,"",_xlfn.XLOOKUP(orders!C753,customers!$A$1:$A$1001,customers!$C$1:$C$1001,,0))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4"/>
        <v>19.02</v>
      </c>
      <c r="N753" t="str">
        <f t="shared" si="36"/>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_xlfn.XLOOKUP(orders!C754,customers!$A$1:$A$1001,customers!$B$1:$B$1001,,0)</f>
        <v>Bran Sterke</v>
      </c>
      <c r="G754" s="2" t="str">
        <f>IF(_xlfn.XLOOKUP(orders!C754,customers!$A$1:$A$1001,customers!$C$1:$C$1001,,0)=0,"",_xlfn.XLOOKUP(orders!C754,customers!$A$1:$A$1001,customers!$C$1:$C$1001,,0))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4"/>
        <v>27.5</v>
      </c>
      <c r="N754" t="str">
        <f t="shared" si="36"/>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_xlfn.XLOOKUP(orders!C755,customers!$A$1:$A$1001,customers!$B$1:$B$1001,,0)</f>
        <v>Simone Capon</v>
      </c>
      <c r="G755" s="2" t="str">
        <f>IF(_xlfn.XLOOKUP(orders!C755,customers!$A$1:$A$1001,customers!$C$1:$C$1001,,0)=0,"",_xlfn.XLOOKUP(orders!C755,customers!$A$1:$A$1001,customers!$C$1:$C$1001,,0))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4"/>
        <v>29.849999999999998</v>
      </c>
      <c r="N755" t="str">
        <f t="shared" si="36"/>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_xlfn.XLOOKUP(orders!C756,customers!$A$1:$A$1001,customers!$B$1:$B$1001,,0)</f>
        <v>Jimmy Dymoke</v>
      </c>
      <c r="G756" s="2" t="str">
        <f>IF(_xlfn.XLOOKUP(orders!C756,customers!$A$1:$A$1001,customers!$C$1:$C$1001,,0)=0,"",_xlfn.XLOOKUP(orders!C756,customers!$A$1:$A$1001,customers!$C$1:$C$1001,,0))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4"/>
        <v>17.91</v>
      </c>
      <c r="N756" t="str">
        <f t="shared" si="36"/>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_xlfn.XLOOKUP(orders!C757,customers!$A$1:$A$1001,customers!$B$1:$B$1001,,0)</f>
        <v>Foster Constance</v>
      </c>
      <c r="G757" s="2" t="str">
        <f>IF(_xlfn.XLOOKUP(orders!C757,customers!$A$1:$A$1001,customers!$C$1:$C$1001,,0)=0,"",_xlfn.XLOOKUP(orders!C757,customers!$A$1:$A$1001,customers!$C$1:$C$1001,,0))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4"/>
        <v>28.53</v>
      </c>
      <c r="N757" t="str">
        <f t="shared" si="36"/>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_xlfn.XLOOKUP(orders!C758,customers!$A$1:$A$1001,customers!$B$1:$B$1001,,0)</f>
        <v>Fernando Sulman</v>
      </c>
      <c r="G758" s="2" t="str">
        <f>IF(_xlfn.XLOOKUP(orders!C758,customers!$A$1:$A$1001,customers!$C$1:$C$1001,,0)=0,"",_xlfn.XLOOKUP(orders!C758,customers!$A$1:$A$1001,customers!$C$1:$C$1001,,0))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4"/>
        <v>35.799999999999997</v>
      </c>
      <c r="N758" t="str">
        <f t="shared" si="36"/>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_xlfn.XLOOKUP(orders!C759,customers!$A$1:$A$1001,customers!$B$1:$B$1001,,0)</f>
        <v>Dorotea Hollyman</v>
      </c>
      <c r="G759" s="2" t="str">
        <f>IF(_xlfn.XLOOKUP(orders!C759,customers!$A$1:$A$1001,customers!$C$1:$C$1001,,0)=0,"",_xlfn.XLOOKUP(orders!C759,customers!$A$1:$A$1001,customers!$C$1:$C$1001,,0))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4"/>
        <v>17.91</v>
      </c>
      <c r="N759" t="str">
        <f t="shared" si="36"/>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_xlfn.XLOOKUP(orders!C760,customers!$A$1:$A$1001,customers!$B$1:$B$1001,,0)</f>
        <v>Lorelei Nardoni</v>
      </c>
      <c r="G760" s="2" t="str">
        <f>IF(_xlfn.XLOOKUP(orders!C760,customers!$A$1:$A$1001,customers!$C$1:$C$1001,,0)=0,"",_xlfn.XLOOKUP(orders!C760,customers!$A$1:$A$1001,customers!$C$1:$C$1001,,0))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4"/>
        <v>8.9499999999999993</v>
      </c>
      <c r="N760" t="str">
        <f t="shared" si="36"/>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_xlfn.XLOOKUP(orders!C761,customers!$A$1:$A$1001,customers!$B$1:$B$1001,,0)</f>
        <v>Dallas Yarham</v>
      </c>
      <c r="G761" s="2" t="str">
        <f>IF(_xlfn.XLOOKUP(orders!C761,customers!$A$1:$A$1001,customers!$C$1:$C$1001,,0)=0,"",_xlfn.XLOOKUP(orders!C761,customers!$A$1:$A$1001,customers!$C$1:$C$1001,,0))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4"/>
        <v>29.784999999999997</v>
      </c>
      <c r="N761" t="str">
        <f t="shared" si="36"/>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_xlfn.XLOOKUP(orders!C762,customers!$A$1:$A$1001,customers!$B$1:$B$1001,,0)</f>
        <v>Arlana Ferrea</v>
      </c>
      <c r="G762" s="2" t="str">
        <f>IF(_xlfn.XLOOKUP(orders!C762,customers!$A$1:$A$1001,customers!$C$1:$C$1001,,0)=0,"",_xlfn.XLOOKUP(orders!C762,customers!$A$1:$A$1001,customers!$C$1:$C$1001,,0))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4"/>
        <v>44.55</v>
      </c>
      <c r="N762" t="str">
        <f t="shared" si="36"/>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_xlfn.XLOOKUP(orders!C763,customers!$A$1:$A$1001,customers!$B$1:$B$1001,,0)</f>
        <v>Chuck Kendrick</v>
      </c>
      <c r="G763" s="2" t="str">
        <f>IF(_xlfn.XLOOKUP(orders!C763,customers!$A$1:$A$1001,customers!$C$1:$C$1001,,0)=0,"",_xlfn.XLOOKUP(orders!C763,customers!$A$1:$A$1001,customers!$C$1:$C$1001,,0))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4"/>
        <v>89.1</v>
      </c>
      <c r="N763" t="str">
        <f t="shared" si="36"/>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_xlfn.XLOOKUP(orders!C764,customers!$A$1:$A$1001,customers!$B$1:$B$1001,,0)</f>
        <v>Sharona Danilchik</v>
      </c>
      <c r="G764" s="2" t="str">
        <f>IF(_xlfn.XLOOKUP(orders!C764,customers!$A$1:$A$1001,customers!$C$1:$C$1001,,0)=0,"",_xlfn.XLOOKUP(orders!C764,customers!$A$1:$A$1001,customers!$C$1:$C$1001,,0))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4"/>
        <v>43.650000000000006</v>
      </c>
      <c r="N764" t="str">
        <f t="shared" si="36"/>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_xlfn.XLOOKUP(orders!C765,customers!$A$1:$A$1001,customers!$B$1:$B$1001,,0)</f>
        <v>Sarajane Potter</v>
      </c>
      <c r="G765" s="2" t="str">
        <f>IF(_xlfn.XLOOKUP(orders!C765,customers!$A$1:$A$1001,customers!$C$1:$C$1001,,0)=0,"",_xlfn.XLOOKUP(orders!C765,customers!$A$1:$A$1001,customers!$C$1:$C$1001,,0))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4"/>
        <v>23.31</v>
      </c>
      <c r="N765" t="str">
        <f t="shared" si="36"/>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_xlfn.XLOOKUP(orders!C766,customers!$A$1:$A$1001,customers!$B$1:$B$1001,,0)</f>
        <v>Bobby Folomkin</v>
      </c>
      <c r="G766" s="2" t="str">
        <f>IF(_xlfn.XLOOKUP(orders!C766,customers!$A$1:$A$1001,customers!$C$1:$C$1001,,0)=0,"",_xlfn.XLOOKUP(orders!C766,customers!$A$1:$A$1001,customers!$C$1:$C$1001,,0))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4"/>
        <v>178.70999999999998</v>
      </c>
      <c r="N766" t="str">
        <f t="shared" si="36"/>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_xlfn.XLOOKUP(orders!C767,customers!$A$1:$A$1001,customers!$B$1:$B$1001,,0)</f>
        <v>Rafferty Pursglove</v>
      </c>
      <c r="G767" s="2" t="str">
        <f>IF(_xlfn.XLOOKUP(orders!C767,customers!$A$1:$A$1001,customers!$C$1:$C$1001,,0)=0,"",_xlfn.XLOOKUP(orders!C767,customers!$A$1:$A$1001,customers!$C$1:$C$1001,,0))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4"/>
        <v>59.699999999999996</v>
      </c>
      <c r="N767" t="str">
        <f t="shared" si="36"/>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_xlfn.XLOOKUP(orders!C768,customers!$A$1:$A$1001,customers!$B$1:$B$1001,,0)</f>
        <v>Rafferty Pursglove</v>
      </c>
      <c r="G768" s="2" t="str">
        <f>IF(_xlfn.XLOOKUP(orders!C768,customers!$A$1:$A$1001,customers!$C$1:$C$1001,,0)=0,"",_xlfn.XLOOKUP(orders!C768,customers!$A$1:$A$1001,customers!$C$1:$C$1001,,0))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4"/>
        <v>15.54</v>
      </c>
      <c r="N768" t="str">
        <f t="shared" si="36"/>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_xlfn.XLOOKUP(orders!C769,customers!$A$1:$A$1001,customers!$B$1:$B$1001,,0)</f>
        <v>Foster Constance</v>
      </c>
      <c r="G769" s="2" t="str">
        <f>IF(_xlfn.XLOOKUP(orders!C769,customers!$A$1:$A$1001,customers!$C$1:$C$1001,,0)=0,"",_xlfn.XLOOKUP(orders!C769,customers!$A$1:$A$1001,customers!$C$1:$C$1001,,0))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4"/>
        <v>89.35499999999999</v>
      </c>
      <c r="N769" t="str">
        <f t="shared" si="36"/>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_xlfn.XLOOKUP(orders!C770,customers!$A$1:$A$1001,customers!$B$1:$B$1001,,0)</f>
        <v>Foster Constance</v>
      </c>
      <c r="G770" s="2" t="str">
        <f>IF(_xlfn.XLOOKUP(orders!C770,customers!$A$1:$A$1001,customers!$C$1:$C$1001,,0)=0,"",_xlfn.XLOOKUP(orders!C770,customers!$A$1:$A$1001,customers!$C$1:$C$1001,,0))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4"/>
        <v>23.9</v>
      </c>
      <c r="N770" t="str">
        <f t="shared" si="36"/>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_xlfn.XLOOKUP(orders!C771,customers!$A$1:$A$1001,customers!$B$1:$B$1001,,0)</f>
        <v>Dalia Eburah</v>
      </c>
      <c r="G771" s="2" t="str">
        <f>IF(_xlfn.XLOOKUP(orders!C771,customers!$A$1:$A$1001,customers!$C$1:$C$1001,,0)=0,"",_xlfn.XLOOKUP(orders!C771,customers!$A$1:$A$1001,customers!$C$1:$C$1001,,0))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7">L771*E771</f>
        <v>137.31</v>
      </c>
      <c r="N771" t="str">
        <f t="shared" si="36"/>
        <v>Robusta</v>
      </c>
      <c r="O771" t="str">
        <f t="shared" ref="O771:O834" si="38">IF(J771="M","Medium",IF(J771= "L", "Light",IF(J771="D", "Dark","")))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_xlfn.XLOOKUP(orders!C772,customers!$A$1:$A$1001,customers!$B$1:$B$1001,,0)</f>
        <v>Martie Brimilcombe</v>
      </c>
      <c r="G772" s="2" t="str">
        <f>IF(_xlfn.XLOOKUP(orders!C772,customers!$A$1:$A$1001,customers!$C$1:$C$1001,,0)=0,"",_xlfn.XLOOKUP(orders!C772,customers!$A$1:$A$1001,customers!$C$1:$C$1001,,0))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7"/>
        <v>9.9499999999999993</v>
      </c>
      <c r="N772" t="str">
        <f t="shared" si="36"/>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_xlfn.XLOOKUP(orders!C773,customers!$A$1:$A$1001,customers!$B$1:$B$1001,,0)</f>
        <v>Suzanna Bollam</v>
      </c>
      <c r="G773" s="2" t="str">
        <f>IF(_xlfn.XLOOKUP(orders!C773,customers!$A$1:$A$1001,customers!$C$1:$C$1001,,0)=0,"",_xlfn.XLOOKUP(orders!C773,customers!$A$1:$A$1001,customers!$C$1:$C$1001,,0))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7"/>
        <v>21.509999999999998</v>
      </c>
      <c r="N773" t="str">
        <f t="shared" si="36"/>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_xlfn.XLOOKUP(orders!C774,customers!$A$1:$A$1001,customers!$B$1:$B$1001,,0)</f>
        <v>Mellisa Mebes</v>
      </c>
      <c r="G774" s="2" t="str">
        <f>IF(_xlfn.XLOOKUP(orders!C774,customers!$A$1:$A$1001,customers!$C$1:$C$1001,,0)=0,"",_xlfn.XLOOKUP(orders!C774,customers!$A$1:$A$1001,customers!$C$1:$C$1001,,0))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7"/>
        <v>82.5</v>
      </c>
      <c r="N774" t="str">
        <f t="shared" si="36"/>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_xlfn.XLOOKUP(orders!C775,customers!$A$1:$A$1001,customers!$B$1:$B$1001,,0)</f>
        <v>Alva Filipczak</v>
      </c>
      <c r="G775" s="2" t="str">
        <f>IF(_xlfn.XLOOKUP(orders!C775,customers!$A$1:$A$1001,customers!$C$1:$C$1001,,0)=0,"",_xlfn.XLOOKUP(orders!C775,customers!$A$1:$A$1001,customers!$C$1:$C$1001,,0))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7"/>
        <v>8.73</v>
      </c>
      <c r="N775" t="str">
        <f t="shared" si="36"/>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_xlfn.XLOOKUP(orders!C776,customers!$A$1:$A$1001,customers!$B$1:$B$1001,,0)</f>
        <v>Dorette Hinemoor</v>
      </c>
      <c r="G776" s="2" t="str">
        <f>IF(_xlfn.XLOOKUP(orders!C776,customers!$A$1:$A$1001,customers!$C$1:$C$1001,,0)=0,"",_xlfn.XLOOKUP(orders!C776,customers!$A$1:$A$1001,customers!$C$1:$C$1001,,0))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7"/>
        <v>19.899999999999999</v>
      </c>
      <c r="N776" t="str">
        <f t="shared" ref="N776:N839" si="39">IF(I776="Rob","Robusta",IF(I776="Exc","Excelsa",IF(I776="Ara","Arabica",IF(I776="Lib","Liberica"))))</f>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_xlfn.XLOOKUP(orders!C777,customers!$A$1:$A$1001,customers!$B$1:$B$1001,,0)</f>
        <v>Rhetta Elnaugh</v>
      </c>
      <c r="G777" s="2" t="str">
        <f>IF(_xlfn.XLOOKUP(orders!C777,customers!$A$1:$A$1001,customers!$C$1:$C$1001,,0)=0,"",_xlfn.XLOOKUP(orders!C777,customers!$A$1:$A$1001,customers!$C$1:$C$1001,,0))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7"/>
        <v>17.82</v>
      </c>
      <c r="N777" t="str">
        <f t="shared" si="39"/>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_xlfn.XLOOKUP(orders!C778,customers!$A$1:$A$1001,customers!$B$1:$B$1001,,0)</f>
        <v>Jule Deehan</v>
      </c>
      <c r="G778" s="2" t="str">
        <f>IF(_xlfn.XLOOKUP(orders!C778,customers!$A$1:$A$1001,customers!$C$1:$C$1001,,0)=0,"",_xlfn.XLOOKUP(orders!C778,customers!$A$1:$A$1001,customers!$C$1:$C$1001,,0))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7"/>
        <v>20.25</v>
      </c>
      <c r="N778" t="str">
        <f t="shared" si="39"/>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_xlfn.XLOOKUP(orders!C779,customers!$A$1:$A$1001,customers!$B$1:$B$1001,,0)</f>
        <v>Janella Eden</v>
      </c>
      <c r="G779" s="2" t="str">
        <f>IF(_xlfn.XLOOKUP(orders!C779,customers!$A$1:$A$1001,customers!$C$1:$C$1001,,0)=0,"",_xlfn.XLOOKUP(orders!C779,customers!$A$1:$A$1001,customers!$C$1:$C$1001,,0))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7"/>
        <v>59.569999999999993</v>
      </c>
      <c r="N779" t="str">
        <f t="shared" si="39"/>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_xlfn.XLOOKUP(orders!C780,customers!$A$1:$A$1001,customers!$B$1:$B$1001,,0)</f>
        <v>Cam Jewster</v>
      </c>
      <c r="G780" s="2" t="str">
        <f>IF(_xlfn.XLOOKUP(orders!C780,customers!$A$1:$A$1001,customers!$C$1:$C$1001,,0)=0,"",_xlfn.XLOOKUP(orders!C780,customers!$A$1:$A$1001,customers!$C$1:$C$1001,,0))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7"/>
        <v>19.02</v>
      </c>
      <c r="N780" t="str">
        <f t="shared" si="39"/>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_xlfn.XLOOKUP(orders!C781,customers!$A$1:$A$1001,customers!$B$1:$B$1001,,0)</f>
        <v>Ugo Southerden</v>
      </c>
      <c r="G781" s="2" t="str">
        <f>IF(_xlfn.XLOOKUP(orders!C781,customers!$A$1:$A$1001,customers!$C$1:$C$1001,,0)=0,"",_xlfn.XLOOKUP(orders!C781,customers!$A$1:$A$1001,customers!$C$1:$C$1001,,0))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7"/>
        <v>77.699999999999989</v>
      </c>
      <c r="N781" t="str">
        <f t="shared" si="39"/>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_xlfn.XLOOKUP(orders!C782,customers!$A$1:$A$1001,customers!$B$1:$B$1001,,0)</f>
        <v>Verne Dunkerley</v>
      </c>
      <c r="G782" s="2" t="str">
        <f>IF(_xlfn.XLOOKUP(orders!C782,customers!$A$1:$A$1001,customers!$C$1:$C$1001,,0)=0,"",_xlfn.XLOOKUP(orders!C782,customers!$A$1:$A$1001,customers!$C$1:$C$1001,,0))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7"/>
        <v>41.25</v>
      </c>
      <c r="N782" t="str">
        <f t="shared" si="39"/>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_xlfn.XLOOKUP(orders!C783,customers!$A$1:$A$1001,customers!$B$1:$B$1001,,0)</f>
        <v>Lacee Burtenshaw</v>
      </c>
      <c r="G783" s="2" t="str">
        <f>IF(_xlfn.XLOOKUP(orders!C783,customers!$A$1:$A$1001,customers!$C$1:$C$1001,,0)=0,"",_xlfn.XLOOKUP(orders!C783,customers!$A$1:$A$1001,customers!$C$1:$C$1001,,0))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7"/>
        <v>145.82</v>
      </c>
      <c r="N783" t="str">
        <f t="shared" si="39"/>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_xlfn.XLOOKUP(orders!C784,customers!$A$1:$A$1001,customers!$B$1:$B$1001,,0)</f>
        <v>Adorne Gregoratti</v>
      </c>
      <c r="G784" s="2" t="str">
        <f>IF(_xlfn.XLOOKUP(orders!C784,customers!$A$1:$A$1001,customers!$C$1:$C$1001,,0)=0,"",_xlfn.XLOOKUP(orders!C784,customers!$A$1:$A$1001,customers!$C$1:$C$1001,,0))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7"/>
        <v>26.73</v>
      </c>
      <c r="N784" t="str">
        <f t="shared" si="39"/>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_xlfn.XLOOKUP(orders!C785,customers!$A$1:$A$1001,customers!$B$1:$B$1001,,0)</f>
        <v>Chris Croster</v>
      </c>
      <c r="G785" s="2" t="str">
        <f>IF(_xlfn.XLOOKUP(orders!C785,customers!$A$1:$A$1001,customers!$C$1:$C$1001,,0)=0,"",_xlfn.XLOOKUP(orders!C785,customers!$A$1:$A$1001,customers!$C$1:$C$1001,,0))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7"/>
        <v>43.650000000000006</v>
      </c>
      <c r="N785" t="str">
        <f t="shared" si="39"/>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_xlfn.XLOOKUP(orders!C786,customers!$A$1:$A$1001,customers!$B$1:$B$1001,,0)</f>
        <v>Graeme Whitehead</v>
      </c>
      <c r="G786" s="2" t="str">
        <f>IF(_xlfn.XLOOKUP(orders!C786,customers!$A$1:$A$1001,customers!$C$1:$C$1001,,0)=0,"",_xlfn.XLOOKUP(orders!C786,customers!$A$1:$A$1001,customers!$C$1:$C$1001,,0))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7"/>
        <v>31.7</v>
      </c>
      <c r="N786" t="str">
        <f t="shared" si="39"/>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_xlfn.XLOOKUP(orders!C787,customers!$A$1:$A$1001,customers!$B$1:$B$1001,,0)</f>
        <v>Haslett Jodrelle</v>
      </c>
      <c r="G787" s="2" t="str">
        <f>IF(_xlfn.XLOOKUP(orders!C787,customers!$A$1:$A$1001,customers!$C$1:$C$1001,,0)=0,"",_xlfn.XLOOKUP(orders!C787,customers!$A$1:$A$1001,customers!$C$1:$C$1001,,0))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7"/>
        <v>22.884999999999998</v>
      </c>
      <c r="N787" t="str">
        <f t="shared" si="39"/>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_xlfn.XLOOKUP(orders!C788,customers!$A$1:$A$1001,customers!$B$1:$B$1001,,0)</f>
        <v>Cam Jewster</v>
      </c>
      <c r="G788" s="2" t="str">
        <f>IF(_xlfn.XLOOKUP(orders!C788,customers!$A$1:$A$1001,customers!$C$1:$C$1001,,0)=0,"",_xlfn.XLOOKUP(orders!C788,customers!$A$1:$A$1001,customers!$C$1:$C$1001,,0))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7"/>
        <v>27.945</v>
      </c>
      <c r="N788" t="str">
        <f t="shared" si="39"/>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_xlfn.XLOOKUP(orders!C789,customers!$A$1:$A$1001,customers!$B$1:$B$1001,,0)</f>
        <v>Beryl Osborn</v>
      </c>
      <c r="G789" s="2" t="str">
        <f>IF(_xlfn.XLOOKUP(orders!C789,customers!$A$1:$A$1001,customers!$C$1:$C$1001,,0)=0,"",_xlfn.XLOOKUP(orders!C789,customers!$A$1:$A$1001,customers!$C$1:$C$1001,,0))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7"/>
        <v>82.5</v>
      </c>
      <c r="N789" t="str">
        <f t="shared" si="39"/>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_xlfn.XLOOKUP(orders!C790,customers!$A$1:$A$1001,customers!$B$1:$B$1001,,0)</f>
        <v>Kaela Nottram</v>
      </c>
      <c r="G790" s="2" t="str">
        <f>IF(_xlfn.XLOOKUP(orders!C790,customers!$A$1:$A$1001,customers!$C$1:$C$1001,,0)=0,"",_xlfn.XLOOKUP(orders!C790,customers!$A$1:$A$1001,customers!$C$1:$C$1001,,0))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7"/>
        <v>45.769999999999996</v>
      </c>
      <c r="N790" t="str">
        <f t="shared" si="39"/>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_xlfn.XLOOKUP(orders!C791,customers!$A$1:$A$1001,customers!$B$1:$B$1001,,0)</f>
        <v>Nobe Buney</v>
      </c>
      <c r="G791" s="2" t="str">
        <f>IF(_xlfn.XLOOKUP(orders!C791,customers!$A$1:$A$1001,customers!$C$1:$C$1001,,0)=0,"",_xlfn.XLOOKUP(orders!C791,customers!$A$1:$A$1001,customers!$C$1:$C$1001,,0))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7"/>
        <v>77.699999999999989</v>
      </c>
      <c r="N791" t="str">
        <f t="shared" si="39"/>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_xlfn.XLOOKUP(orders!C792,customers!$A$1:$A$1001,customers!$B$1:$B$1001,,0)</f>
        <v>Silvan McShea</v>
      </c>
      <c r="G792" s="2" t="str">
        <f>IF(_xlfn.XLOOKUP(orders!C792,customers!$A$1:$A$1001,customers!$C$1:$C$1001,,0)=0,"",_xlfn.XLOOKUP(orders!C792,customers!$A$1:$A$1001,customers!$C$1:$C$1001,,0))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7"/>
        <v>23.31</v>
      </c>
      <c r="N792" t="str">
        <f t="shared" si="39"/>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_xlfn.XLOOKUP(orders!C793,customers!$A$1:$A$1001,customers!$B$1:$B$1001,,0)</f>
        <v>Karylin Huddart</v>
      </c>
      <c r="G793" s="2" t="str">
        <f>IF(_xlfn.XLOOKUP(orders!C793,customers!$A$1:$A$1001,customers!$C$1:$C$1001,,0)=0,"",_xlfn.XLOOKUP(orders!C793,customers!$A$1:$A$1001,customers!$C$1:$C$1001,,0))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7"/>
        <v>23.774999999999999</v>
      </c>
      <c r="N793" t="str">
        <f t="shared" si="39"/>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_xlfn.XLOOKUP(orders!C794,customers!$A$1:$A$1001,customers!$B$1:$B$1001,,0)</f>
        <v>Jereme Gippes</v>
      </c>
      <c r="G794" s="2" t="str">
        <f>IF(_xlfn.XLOOKUP(orders!C794,customers!$A$1:$A$1001,customers!$C$1:$C$1001,,0)=0,"",_xlfn.XLOOKUP(orders!C794,customers!$A$1:$A$1001,customers!$C$1:$C$1001,,0))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7"/>
        <v>52.38</v>
      </c>
      <c r="N794" t="str">
        <f t="shared" si="39"/>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_xlfn.XLOOKUP(orders!C795,customers!$A$1:$A$1001,customers!$B$1:$B$1001,,0)</f>
        <v>Lukas Whittlesee</v>
      </c>
      <c r="G795" s="2" t="str">
        <f>IF(_xlfn.XLOOKUP(orders!C795,customers!$A$1:$A$1001,customers!$C$1:$C$1001,,0)=0,"",_xlfn.XLOOKUP(orders!C795,customers!$A$1:$A$1001,customers!$C$1:$C$1001,,0))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7"/>
        <v>17.924999999999997</v>
      </c>
      <c r="N795" t="str">
        <f t="shared" si="39"/>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_xlfn.XLOOKUP(orders!C796,customers!$A$1:$A$1001,customers!$B$1:$B$1001,,0)</f>
        <v>Gregorius Trengrove</v>
      </c>
      <c r="G796" s="2" t="str">
        <f>IF(_xlfn.XLOOKUP(orders!C796,customers!$A$1:$A$1001,customers!$C$1:$C$1001,,0)=0,"",_xlfn.XLOOKUP(orders!C796,customers!$A$1:$A$1001,customers!$C$1:$C$1001,,0))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7"/>
        <v>148.92499999999998</v>
      </c>
      <c r="N796" t="str">
        <f t="shared" si="39"/>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_xlfn.XLOOKUP(orders!C797,customers!$A$1:$A$1001,customers!$B$1:$B$1001,,0)</f>
        <v>Wright Caldero</v>
      </c>
      <c r="G797" s="2" t="str">
        <f>IF(_xlfn.XLOOKUP(orders!C797,customers!$A$1:$A$1001,customers!$C$1:$C$1001,,0)=0,"",_xlfn.XLOOKUP(orders!C797,customers!$A$1:$A$1001,customers!$C$1:$C$1001,,0))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7"/>
        <v>28.679999999999996</v>
      </c>
      <c r="N797" t="str">
        <f t="shared" si="39"/>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_xlfn.XLOOKUP(orders!C798,customers!$A$1:$A$1001,customers!$B$1:$B$1001,,0)</f>
        <v>Merell Zanazzi</v>
      </c>
      <c r="G798" s="2" t="str">
        <f>IF(_xlfn.XLOOKUP(orders!C798,customers!$A$1:$A$1001,customers!$C$1:$C$1001,,0)=0,"",_xlfn.XLOOKUP(orders!C798,customers!$A$1:$A$1001,customers!$C$1:$C$1001,,0))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7"/>
        <v>9.51</v>
      </c>
      <c r="N798" t="str">
        <f t="shared" si="39"/>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_xlfn.XLOOKUP(orders!C799,customers!$A$1:$A$1001,customers!$B$1:$B$1001,,0)</f>
        <v>Jed Kennicott</v>
      </c>
      <c r="G799" s="2" t="str">
        <f>IF(_xlfn.XLOOKUP(orders!C799,customers!$A$1:$A$1001,customers!$C$1:$C$1001,,0)=0,"",_xlfn.XLOOKUP(orders!C799,customers!$A$1:$A$1001,customers!$C$1:$C$1001,,0))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7"/>
        <v>31.08</v>
      </c>
      <c r="N799" t="str">
        <f t="shared" si="39"/>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_xlfn.XLOOKUP(orders!C800,customers!$A$1:$A$1001,customers!$B$1:$B$1001,,0)</f>
        <v>Guenevere Ruggen</v>
      </c>
      <c r="G800" s="2" t="str">
        <f>IF(_xlfn.XLOOKUP(orders!C800,customers!$A$1:$A$1001,customers!$C$1:$C$1001,,0)=0,"",_xlfn.XLOOKUP(orders!C800,customers!$A$1:$A$1001,customers!$C$1:$C$1001,,0))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7"/>
        <v>8.0549999999999997</v>
      </c>
      <c r="N800" t="str">
        <f t="shared" si="39"/>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_xlfn.XLOOKUP(orders!C801,customers!$A$1:$A$1001,customers!$B$1:$B$1001,,0)</f>
        <v>Gonzales Cicculi</v>
      </c>
      <c r="G801" s="2" t="str">
        <f>IF(_xlfn.XLOOKUP(orders!C801,customers!$A$1:$A$1001,customers!$C$1:$C$1001,,0)=0,"",_xlfn.XLOOKUP(orders!C801,customers!$A$1:$A$1001,customers!$C$1:$C$1001,,0))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7"/>
        <v>36.450000000000003</v>
      </c>
      <c r="N801" t="str">
        <f t="shared" si="39"/>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_xlfn.XLOOKUP(orders!C802,customers!$A$1:$A$1001,customers!$B$1:$B$1001,,0)</f>
        <v>Man Fright</v>
      </c>
      <c r="G802" s="2" t="str">
        <f>IF(_xlfn.XLOOKUP(orders!C802,customers!$A$1:$A$1001,customers!$C$1:$C$1001,,0)=0,"",_xlfn.XLOOKUP(orders!C802,customers!$A$1:$A$1001,customers!$C$1:$C$1001,,0))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7"/>
        <v>16.11</v>
      </c>
      <c r="N802" t="str">
        <f t="shared" si="39"/>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_xlfn.XLOOKUP(orders!C803,customers!$A$1:$A$1001,customers!$B$1:$B$1001,,0)</f>
        <v>Boyce Tarte</v>
      </c>
      <c r="G803" s="2" t="str">
        <f>IF(_xlfn.XLOOKUP(orders!C803,customers!$A$1:$A$1001,customers!$C$1:$C$1001,,0)=0,"",_xlfn.XLOOKUP(orders!C803,customers!$A$1:$A$1001,customers!$C$1:$C$1001,,0))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7"/>
        <v>41.169999999999995</v>
      </c>
      <c r="N803" t="str">
        <f t="shared" si="39"/>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_xlfn.XLOOKUP(orders!C804,customers!$A$1:$A$1001,customers!$B$1:$B$1001,,0)</f>
        <v>Caddric Krzysztofiak</v>
      </c>
      <c r="G804" s="2" t="str">
        <f>IF(_xlfn.XLOOKUP(orders!C804,customers!$A$1:$A$1001,customers!$C$1:$C$1001,,0)=0,"",_xlfn.XLOOKUP(orders!C804,customers!$A$1:$A$1001,customers!$C$1:$C$1001,,0))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7"/>
        <v>10.739999999999998</v>
      </c>
      <c r="N804" t="str">
        <f t="shared" si="39"/>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_xlfn.XLOOKUP(orders!C805,customers!$A$1:$A$1001,customers!$B$1:$B$1001,,0)</f>
        <v>Darn Penquet</v>
      </c>
      <c r="G805" s="2" t="str">
        <f>IF(_xlfn.XLOOKUP(orders!C805,customers!$A$1:$A$1001,customers!$C$1:$C$1001,,0)=0,"",_xlfn.XLOOKUP(orders!C805,customers!$A$1:$A$1001,customers!$C$1:$C$1001,,0))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7"/>
        <v>126.49999999999999</v>
      </c>
      <c r="N805" t="str">
        <f t="shared" si="39"/>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_xlfn.XLOOKUP(orders!C806,customers!$A$1:$A$1001,customers!$B$1:$B$1001,,0)</f>
        <v>Jammie Cloke</v>
      </c>
      <c r="G806" s="2" t="str">
        <f>IF(_xlfn.XLOOKUP(orders!C806,customers!$A$1:$A$1001,customers!$C$1:$C$1001,,0)=0,"",_xlfn.XLOOKUP(orders!C806,customers!$A$1:$A$1001,customers!$C$1:$C$1001,,0))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7"/>
        <v>23.9</v>
      </c>
      <c r="N806" t="str">
        <f t="shared" si="39"/>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_xlfn.XLOOKUP(orders!C807,customers!$A$1:$A$1001,customers!$B$1:$B$1001,,0)</f>
        <v>Chester Clowton</v>
      </c>
      <c r="G807" s="2" t="str">
        <f>IF(_xlfn.XLOOKUP(orders!C807,customers!$A$1:$A$1001,customers!$C$1:$C$1001,,0)=0,"",_xlfn.XLOOKUP(orders!C807,customers!$A$1:$A$1001,customers!$C$1:$C$1001,,0))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7"/>
        <v>5.97</v>
      </c>
      <c r="N807" t="str">
        <f t="shared" si="39"/>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_xlfn.XLOOKUP(orders!C808,customers!$A$1:$A$1001,customers!$B$1:$B$1001,,0)</f>
        <v>Kathleen Diable</v>
      </c>
      <c r="G808" s="2" t="str">
        <f>IF(_xlfn.XLOOKUP(orders!C808,customers!$A$1:$A$1001,customers!$C$1:$C$1001,,0)=0,"",_xlfn.XLOOKUP(orders!C808,customers!$A$1:$A$1001,customers!$C$1:$C$1001,,0))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7"/>
        <v>7.77</v>
      </c>
      <c r="N808" t="str">
        <f t="shared" si="39"/>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_xlfn.XLOOKUP(orders!C809,customers!$A$1:$A$1001,customers!$B$1:$B$1001,,0)</f>
        <v>Koren Ferretti</v>
      </c>
      <c r="G809" s="2" t="str">
        <f>IF(_xlfn.XLOOKUP(orders!C809,customers!$A$1:$A$1001,customers!$C$1:$C$1001,,0)=0,"",_xlfn.XLOOKUP(orders!C809,customers!$A$1:$A$1001,customers!$C$1:$C$1001,,0))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7"/>
        <v>23.31</v>
      </c>
      <c r="N809" t="str">
        <f t="shared" si="39"/>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_xlfn.XLOOKUP(orders!C810,customers!$A$1:$A$1001,customers!$B$1:$B$1001,,0)</f>
        <v>Allis Wilmore</v>
      </c>
      <c r="G810" s="2" t="str">
        <f>IF(_xlfn.XLOOKUP(orders!C810,customers!$A$1:$A$1001,customers!$C$1:$C$1001,,0)=0,"",_xlfn.XLOOKUP(orders!C810,customers!$A$1:$A$1001,customers!$C$1:$C$1001,,0))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7"/>
        <v>137.42499999999998</v>
      </c>
      <c r="N810" t="str">
        <f t="shared" si="39"/>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_xlfn.XLOOKUP(orders!C811,customers!$A$1:$A$1001,customers!$B$1:$B$1001,,0)</f>
        <v>Chaddie Bennie</v>
      </c>
      <c r="G811" s="2" t="str">
        <f>IF(_xlfn.XLOOKUP(orders!C811,customers!$A$1:$A$1001,customers!$C$1:$C$1001,,0)=0,"",_xlfn.XLOOKUP(orders!C811,customers!$A$1:$A$1001,customers!$C$1:$C$1001,,0))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7"/>
        <v>8.0549999999999997</v>
      </c>
      <c r="N811" t="str">
        <f t="shared" si="39"/>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_xlfn.XLOOKUP(orders!C812,customers!$A$1:$A$1001,customers!$B$1:$B$1001,,0)</f>
        <v>Alberta Balsdone</v>
      </c>
      <c r="G812" s="2" t="str">
        <f>IF(_xlfn.XLOOKUP(orders!C812,customers!$A$1:$A$1001,customers!$C$1:$C$1001,,0)=0,"",_xlfn.XLOOKUP(orders!C812,customers!$A$1:$A$1001,customers!$C$1:$C$1001,,0))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7"/>
        <v>28.53</v>
      </c>
      <c r="N812" t="str">
        <f t="shared" si="39"/>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_xlfn.XLOOKUP(orders!C813,customers!$A$1:$A$1001,customers!$B$1:$B$1001,,0)</f>
        <v>Brice Romera</v>
      </c>
      <c r="G813" s="2" t="str">
        <f>IF(_xlfn.XLOOKUP(orders!C813,customers!$A$1:$A$1001,customers!$C$1:$C$1001,,0)=0,"",_xlfn.XLOOKUP(orders!C813,customers!$A$1:$A$1001,customers!$C$1:$C$1001,,0))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7"/>
        <v>67.5</v>
      </c>
      <c r="N813" t="str">
        <f t="shared" si="39"/>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_xlfn.XLOOKUP(orders!C814,customers!$A$1:$A$1001,customers!$B$1:$B$1001,,0)</f>
        <v>Brice Romera</v>
      </c>
      <c r="G814" s="2" t="str">
        <f>IF(_xlfn.XLOOKUP(orders!C814,customers!$A$1:$A$1001,customers!$C$1:$C$1001,,0)=0,"",_xlfn.XLOOKUP(orders!C814,customers!$A$1:$A$1001,customers!$C$1:$C$1001,,0))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7"/>
        <v>178.70999999999998</v>
      </c>
      <c r="N814" t="str">
        <f t="shared" si="39"/>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_xlfn.XLOOKUP(orders!C815,customers!$A$1:$A$1001,customers!$B$1:$B$1001,,0)</f>
        <v>Conchita Bryde</v>
      </c>
      <c r="G815" s="2" t="str">
        <f>IF(_xlfn.XLOOKUP(orders!C815,customers!$A$1:$A$1001,customers!$C$1:$C$1001,,0)=0,"",_xlfn.XLOOKUP(orders!C815,customers!$A$1:$A$1001,customers!$C$1:$C$1001,,0))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7"/>
        <v>31.624999999999996</v>
      </c>
      <c r="N815" t="str">
        <f t="shared" si="39"/>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_xlfn.XLOOKUP(orders!C816,customers!$A$1:$A$1001,customers!$B$1:$B$1001,,0)</f>
        <v>Silvanus Enefer</v>
      </c>
      <c r="G816" s="2" t="str">
        <f>IF(_xlfn.XLOOKUP(orders!C816,customers!$A$1:$A$1001,customers!$C$1:$C$1001,,0)=0,"",_xlfn.XLOOKUP(orders!C816,customers!$A$1:$A$1001,customers!$C$1:$C$1001,,0))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7"/>
        <v>8.91</v>
      </c>
      <c r="N816" t="str">
        <f t="shared" si="39"/>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_xlfn.XLOOKUP(orders!C817,customers!$A$1:$A$1001,customers!$B$1:$B$1001,,0)</f>
        <v>Lenci Haggerstone</v>
      </c>
      <c r="G817" s="2" t="str">
        <f>IF(_xlfn.XLOOKUP(orders!C817,customers!$A$1:$A$1001,customers!$C$1:$C$1001,,0)=0,"",_xlfn.XLOOKUP(orders!C817,customers!$A$1:$A$1001,customers!$C$1:$C$1001,,0))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7"/>
        <v>35.82</v>
      </c>
      <c r="N817" t="str">
        <f t="shared" si="39"/>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_xlfn.XLOOKUP(orders!C818,customers!$A$1:$A$1001,customers!$B$1:$B$1001,,0)</f>
        <v>Marvin Gundry</v>
      </c>
      <c r="G818" s="2" t="str">
        <f>IF(_xlfn.XLOOKUP(orders!C818,customers!$A$1:$A$1001,customers!$C$1:$C$1001,,0)=0,"",_xlfn.XLOOKUP(orders!C818,customers!$A$1:$A$1001,customers!$C$1:$C$1001,,0))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7"/>
        <v>38.04</v>
      </c>
      <c r="N818" t="str">
        <f t="shared" si="39"/>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_xlfn.XLOOKUP(orders!C819,customers!$A$1:$A$1001,customers!$B$1:$B$1001,,0)</f>
        <v>Bayard Wellan</v>
      </c>
      <c r="G819" s="2" t="str">
        <f>IF(_xlfn.XLOOKUP(orders!C819,customers!$A$1:$A$1001,customers!$C$1:$C$1001,,0)=0,"",_xlfn.XLOOKUP(orders!C819,customers!$A$1:$A$1001,customers!$C$1:$C$1001,,0))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7"/>
        <v>15.54</v>
      </c>
      <c r="N819" t="str">
        <f t="shared" si="39"/>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_xlfn.XLOOKUP(orders!C820,customers!$A$1:$A$1001,customers!$B$1:$B$1001,,0)</f>
        <v>Allis Wilmore</v>
      </c>
      <c r="G820" s="2" t="str">
        <f>IF(_xlfn.XLOOKUP(orders!C820,customers!$A$1:$A$1001,customers!$C$1:$C$1001,,0)=0,"",_xlfn.XLOOKUP(orders!C820,customers!$A$1:$A$1001,customers!$C$1:$C$1001,,0))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7"/>
        <v>79.25</v>
      </c>
      <c r="N820" t="str">
        <f t="shared" si="39"/>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_xlfn.XLOOKUP(orders!C821,customers!$A$1:$A$1001,customers!$B$1:$B$1001,,0)</f>
        <v>Caddric Atcheson</v>
      </c>
      <c r="G821" s="2" t="str">
        <f>IF(_xlfn.XLOOKUP(orders!C821,customers!$A$1:$A$1001,customers!$C$1:$C$1001,,0)=0,"",_xlfn.XLOOKUP(orders!C821,customers!$A$1:$A$1001,customers!$C$1:$C$1001,,0))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7"/>
        <v>4.7549999999999999</v>
      </c>
      <c r="N821" t="str">
        <f t="shared" si="39"/>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_xlfn.XLOOKUP(orders!C822,customers!$A$1:$A$1001,customers!$B$1:$B$1001,,0)</f>
        <v>Eustace Stenton</v>
      </c>
      <c r="G822" s="2" t="str">
        <f>IF(_xlfn.XLOOKUP(orders!C822,customers!$A$1:$A$1001,customers!$C$1:$C$1001,,0)=0,"",_xlfn.XLOOKUP(orders!C822,customers!$A$1:$A$1001,customers!$C$1:$C$1001,,0))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7"/>
        <v>55</v>
      </c>
      <c r="N822" t="str">
        <f t="shared" si="39"/>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_xlfn.XLOOKUP(orders!C823,customers!$A$1:$A$1001,customers!$B$1:$B$1001,,0)</f>
        <v>Ericka Tripp</v>
      </c>
      <c r="G823" s="2" t="str">
        <f>IF(_xlfn.XLOOKUP(orders!C823,customers!$A$1:$A$1001,customers!$C$1:$C$1001,,0)=0,"",_xlfn.XLOOKUP(orders!C823,customers!$A$1:$A$1001,customers!$C$1:$C$1001,,0))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7"/>
        <v>26.849999999999994</v>
      </c>
      <c r="N823" t="str">
        <f t="shared" si="39"/>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_xlfn.XLOOKUP(orders!C824,customers!$A$1:$A$1001,customers!$B$1:$B$1001,,0)</f>
        <v>Lyndsey MacManus</v>
      </c>
      <c r="G824" s="2" t="str">
        <f>IF(_xlfn.XLOOKUP(orders!C824,customers!$A$1:$A$1001,customers!$C$1:$C$1001,,0)=0,"",_xlfn.XLOOKUP(orders!C824,customers!$A$1:$A$1001,customers!$C$1:$C$1001,,0))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7"/>
        <v>136.61999999999998</v>
      </c>
      <c r="N824" t="str">
        <f t="shared" si="39"/>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_xlfn.XLOOKUP(orders!C825,customers!$A$1:$A$1001,customers!$B$1:$B$1001,,0)</f>
        <v>Tess Benediktovich</v>
      </c>
      <c r="G825" s="2" t="str">
        <f>IF(_xlfn.XLOOKUP(orders!C825,customers!$A$1:$A$1001,customers!$C$1:$C$1001,,0)=0,"",_xlfn.XLOOKUP(orders!C825,customers!$A$1:$A$1001,customers!$C$1:$C$1001,,0))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7"/>
        <v>47.55</v>
      </c>
      <c r="N825" t="str">
        <f t="shared" si="39"/>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_xlfn.XLOOKUP(orders!C826,customers!$A$1:$A$1001,customers!$B$1:$B$1001,,0)</f>
        <v>Correy Bourner</v>
      </c>
      <c r="G826" s="2" t="str">
        <f>IF(_xlfn.XLOOKUP(orders!C826,customers!$A$1:$A$1001,customers!$C$1:$C$1001,,0)=0,"",_xlfn.XLOOKUP(orders!C826,customers!$A$1:$A$1001,customers!$C$1:$C$1001,,0))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7"/>
        <v>16.875</v>
      </c>
      <c r="N826" t="str">
        <f t="shared" si="39"/>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_xlfn.XLOOKUP(orders!C827,customers!$A$1:$A$1001,customers!$B$1:$B$1001,,0)</f>
        <v>Odelia Skerme</v>
      </c>
      <c r="G827" s="2" t="str">
        <f>IF(_xlfn.XLOOKUP(orders!C827,customers!$A$1:$A$1001,customers!$C$1:$C$1001,,0)=0,"",_xlfn.XLOOKUP(orders!C827,customers!$A$1:$A$1001,customers!$C$1:$C$1001,,0))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7"/>
        <v>29.849999999999998</v>
      </c>
      <c r="N827" t="str">
        <f t="shared" si="39"/>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_xlfn.XLOOKUP(orders!C828,customers!$A$1:$A$1001,customers!$B$1:$B$1001,,0)</f>
        <v>Kandy Heddan</v>
      </c>
      <c r="G828" s="2" t="str">
        <f>IF(_xlfn.XLOOKUP(orders!C828,customers!$A$1:$A$1001,customers!$C$1:$C$1001,,0)=0,"",_xlfn.XLOOKUP(orders!C828,customers!$A$1:$A$1001,customers!$C$1:$C$1001,,0))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7"/>
        <v>41.25</v>
      </c>
      <c r="N828" t="str">
        <f t="shared" si="39"/>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_xlfn.XLOOKUP(orders!C829,customers!$A$1:$A$1001,customers!$B$1:$B$1001,,0)</f>
        <v>Ibby Charters</v>
      </c>
      <c r="G829" s="2" t="str">
        <f>IF(_xlfn.XLOOKUP(orders!C829,customers!$A$1:$A$1001,customers!$C$1:$C$1001,,0)=0,"",_xlfn.XLOOKUP(orders!C829,customers!$A$1:$A$1001,customers!$C$1:$C$1001,,0))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7"/>
        <v>20.625</v>
      </c>
      <c r="N829" t="str">
        <f t="shared" si="39"/>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_xlfn.XLOOKUP(orders!C830,customers!$A$1:$A$1001,customers!$B$1:$B$1001,,0)</f>
        <v>Adora Roubert</v>
      </c>
      <c r="G830" s="2" t="str">
        <f>IF(_xlfn.XLOOKUP(orders!C830,customers!$A$1:$A$1001,customers!$C$1:$C$1001,,0)=0,"",_xlfn.XLOOKUP(orders!C830,customers!$A$1:$A$1001,customers!$C$1:$C$1001,,0))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7"/>
        <v>137.31</v>
      </c>
      <c r="N830" t="str">
        <f t="shared" si="39"/>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_xlfn.XLOOKUP(orders!C831,customers!$A$1:$A$1001,customers!$B$1:$B$1001,,0)</f>
        <v>Hillel Mairs</v>
      </c>
      <c r="G831" s="2" t="str">
        <f>IF(_xlfn.XLOOKUP(orders!C831,customers!$A$1:$A$1001,customers!$C$1:$C$1001,,0)=0,"",_xlfn.XLOOKUP(orders!C831,customers!$A$1:$A$1001,customers!$C$1:$C$1001,,0))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7"/>
        <v>2.9849999999999999</v>
      </c>
      <c r="N831" t="str">
        <f t="shared" si="39"/>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_xlfn.XLOOKUP(orders!C832,customers!$A$1:$A$1001,customers!$B$1:$B$1001,,0)</f>
        <v>Helaina Rainforth</v>
      </c>
      <c r="G832" s="2" t="str">
        <f>IF(_xlfn.XLOOKUP(orders!C832,customers!$A$1:$A$1001,customers!$C$1:$C$1001,,0)=0,"",_xlfn.XLOOKUP(orders!C832,customers!$A$1:$A$1001,customers!$C$1:$C$1001,,0))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7"/>
        <v>27.5</v>
      </c>
      <c r="N832" t="str">
        <f t="shared" si="39"/>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_xlfn.XLOOKUP(orders!C833,customers!$A$1:$A$1001,customers!$B$1:$B$1001,,0)</f>
        <v>Helaina Rainforth</v>
      </c>
      <c r="G833" s="2" t="str">
        <f>IF(_xlfn.XLOOKUP(orders!C833,customers!$A$1:$A$1001,customers!$C$1:$C$1001,,0)=0,"",_xlfn.XLOOKUP(orders!C833,customers!$A$1:$A$1001,customers!$C$1:$C$1001,,0))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7"/>
        <v>5.97</v>
      </c>
      <c r="N833" t="str">
        <f t="shared" si="39"/>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_xlfn.XLOOKUP(orders!C834,customers!$A$1:$A$1001,customers!$B$1:$B$1001,,0)</f>
        <v>Isac Jesper</v>
      </c>
      <c r="G834" s="2" t="str">
        <f>IF(_xlfn.XLOOKUP(orders!C834,customers!$A$1:$A$1001,customers!$C$1:$C$1001,,0)=0,"",_xlfn.XLOOKUP(orders!C834,customers!$A$1:$A$1001,customers!$C$1:$C$1001,,0))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7"/>
        <v>59.699999999999996</v>
      </c>
      <c r="N834" t="str">
        <f t="shared" si="39"/>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_xlfn.XLOOKUP(orders!C835,customers!$A$1:$A$1001,customers!$B$1:$B$1001,,0)</f>
        <v>Lenette Dwerryhouse</v>
      </c>
      <c r="G835" s="2" t="str">
        <f>IF(_xlfn.XLOOKUP(orders!C835,customers!$A$1:$A$1001,customers!$C$1:$C$1001,,0)=0,"",_xlfn.XLOOKUP(orders!C835,customers!$A$1:$A$1001,customers!$C$1:$C$1001,,0))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40">L835*E835</f>
        <v>82.339999999999989</v>
      </c>
      <c r="N835" t="str">
        <f t="shared" si="39"/>
        <v>Robusta</v>
      </c>
      <c r="O835" t="str">
        <f t="shared" ref="O835:O898" si="41">IF(J835="M","Medium",IF(J835= "L", "Light",IF(J835="D", "Dark","")))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_xlfn.XLOOKUP(orders!C836,customers!$A$1:$A$1001,customers!$B$1:$B$1001,,0)</f>
        <v>Nadeen Broomer</v>
      </c>
      <c r="G836" s="2" t="str">
        <f>IF(_xlfn.XLOOKUP(orders!C836,customers!$A$1:$A$1001,customers!$C$1:$C$1001,,0)=0,"",_xlfn.XLOOKUP(orders!C836,customers!$A$1:$A$1001,customers!$C$1:$C$1001,,0))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40"/>
        <v>22.884999999999998</v>
      </c>
      <c r="N836" t="str">
        <f t="shared" si="39"/>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_xlfn.XLOOKUP(orders!C837,customers!$A$1:$A$1001,customers!$B$1:$B$1001,,0)</f>
        <v>Konstantine Thoumasson</v>
      </c>
      <c r="G837" s="2" t="str">
        <f>IF(_xlfn.XLOOKUP(orders!C837,customers!$A$1:$A$1001,customers!$C$1:$C$1001,,0)=0,"",_xlfn.XLOOKUP(orders!C837,customers!$A$1:$A$1001,customers!$C$1:$C$1001,,0))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40"/>
        <v>8.91</v>
      </c>
      <c r="N837" t="str">
        <f t="shared" si="39"/>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_xlfn.XLOOKUP(orders!C838,customers!$A$1:$A$1001,customers!$B$1:$B$1001,,0)</f>
        <v>Frans Habbergham</v>
      </c>
      <c r="G838" s="2" t="str">
        <f>IF(_xlfn.XLOOKUP(orders!C838,customers!$A$1:$A$1001,customers!$C$1:$C$1001,,0)=0,"",_xlfn.XLOOKUP(orders!C838,customers!$A$1:$A$1001,customers!$C$1:$C$1001,,0))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40"/>
        <v>11.94</v>
      </c>
      <c r="N838" t="str">
        <f t="shared" si="39"/>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_xlfn.XLOOKUP(orders!C839,customers!$A$1:$A$1001,customers!$B$1:$B$1001,,0)</f>
        <v>Allis Wilmore</v>
      </c>
      <c r="G839" s="2" t="str">
        <f>IF(_xlfn.XLOOKUP(orders!C839,customers!$A$1:$A$1001,customers!$C$1:$C$1001,,0)=0,"",_xlfn.XLOOKUP(orders!C839,customers!$A$1:$A$1001,customers!$C$1:$C$1001,,0))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40"/>
        <v>100.39499999999998</v>
      </c>
      <c r="N839" t="str">
        <f t="shared" si="39"/>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_xlfn.XLOOKUP(orders!C840,customers!$A$1:$A$1001,customers!$B$1:$B$1001,,0)</f>
        <v>Romain Avrashin</v>
      </c>
      <c r="G840" s="2" t="str">
        <f>IF(_xlfn.XLOOKUP(orders!C840,customers!$A$1:$A$1001,customers!$C$1:$C$1001,,0)=0,"",_xlfn.XLOOKUP(orders!C840,customers!$A$1:$A$1001,customers!$C$1:$C$1001,,0))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40"/>
        <v>114.42499999999998</v>
      </c>
      <c r="N840" t="str">
        <f t="shared" ref="N840:N903" si="42">IF(I840="Rob","Robusta",IF(I840="Exc","Excelsa",IF(I840="Ara","Arabica",IF(I840="Lib","Liberica"))))</f>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_xlfn.XLOOKUP(orders!C841,customers!$A$1:$A$1001,customers!$B$1:$B$1001,,0)</f>
        <v>Miran Doidge</v>
      </c>
      <c r="G841" s="2" t="str">
        <f>IF(_xlfn.XLOOKUP(orders!C841,customers!$A$1:$A$1001,customers!$C$1:$C$1001,,0)=0,"",_xlfn.XLOOKUP(orders!C841,customers!$A$1:$A$1001,customers!$C$1:$C$1001,,0))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40"/>
        <v>41.25</v>
      </c>
      <c r="N841" t="str">
        <f t="shared" si="42"/>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_xlfn.XLOOKUP(orders!C842,customers!$A$1:$A$1001,customers!$B$1:$B$1001,,0)</f>
        <v>Janeva Edinboro</v>
      </c>
      <c r="G842" s="2" t="str">
        <f>IF(_xlfn.XLOOKUP(orders!C842,customers!$A$1:$A$1001,customers!$C$1:$C$1001,,0)=0,"",_xlfn.XLOOKUP(orders!C842,customers!$A$1:$A$1001,customers!$C$1:$C$1001,,0))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40"/>
        <v>28.679999999999996</v>
      </c>
      <c r="N842" t="str">
        <f t="shared" si="42"/>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_xlfn.XLOOKUP(orders!C843,customers!$A$1:$A$1001,customers!$B$1:$B$1001,,0)</f>
        <v>Trumaine Tewelson</v>
      </c>
      <c r="G843" s="2" t="str">
        <f>IF(_xlfn.XLOOKUP(orders!C843,customers!$A$1:$A$1001,customers!$C$1:$C$1001,,0)=0,"",_xlfn.XLOOKUP(orders!C843,customers!$A$1:$A$1001,customers!$C$1:$C$1001,,0))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40"/>
        <v>4.3650000000000002</v>
      </c>
      <c r="N843" t="str">
        <f t="shared" si="42"/>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_xlfn.XLOOKUP(orders!C844,customers!$A$1:$A$1001,customers!$B$1:$B$1001,,0)</f>
        <v>Odelia Skerme</v>
      </c>
      <c r="G844" s="2" t="str">
        <f>IF(_xlfn.XLOOKUP(orders!C844,customers!$A$1:$A$1001,customers!$C$1:$C$1001,,0)=0,"",_xlfn.XLOOKUP(orders!C844,customers!$A$1:$A$1001,customers!$C$1:$C$1001,,0))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40"/>
        <v>8.25</v>
      </c>
      <c r="N844" t="str">
        <f t="shared" si="42"/>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_xlfn.XLOOKUP(orders!C845,customers!$A$1:$A$1001,customers!$B$1:$B$1001,,0)</f>
        <v>De Drewitt</v>
      </c>
      <c r="G845" s="2" t="str">
        <f>IF(_xlfn.XLOOKUP(orders!C845,customers!$A$1:$A$1001,customers!$C$1:$C$1001,,0)=0,"",_xlfn.XLOOKUP(orders!C845,customers!$A$1:$A$1001,customers!$C$1:$C$1001,,0))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40"/>
        <v>8.25</v>
      </c>
      <c r="N845" t="str">
        <f t="shared" si="42"/>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_xlfn.XLOOKUP(orders!C846,customers!$A$1:$A$1001,customers!$B$1:$B$1001,,0)</f>
        <v>Adelheid Gladhill</v>
      </c>
      <c r="G846" s="2" t="str">
        <f>IF(_xlfn.XLOOKUP(orders!C846,customers!$A$1:$A$1001,customers!$C$1:$C$1001,,0)=0,"",_xlfn.XLOOKUP(orders!C846,customers!$A$1:$A$1001,customers!$C$1:$C$1001,,0))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40"/>
        <v>35.82</v>
      </c>
      <c r="N846" t="str">
        <f t="shared" si="42"/>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_xlfn.XLOOKUP(orders!C847,customers!$A$1:$A$1001,customers!$B$1:$B$1001,,0)</f>
        <v>Murielle Lorinez</v>
      </c>
      <c r="G847" s="2" t="str">
        <f>IF(_xlfn.XLOOKUP(orders!C847,customers!$A$1:$A$1001,customers!$C$1:$C$1001,,0)=0,"",_xlfn.XLOOKUP(orders!C847,customers!$A$1:$A$1001,customers!$C$1:$C$1001,,0))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40"/>
        <v>167.67000000000002</v>
      </c>
      <c r="N847" t="str">
        <f t="shared" si="42"/>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_xlfn.XLOOKUP(orders!C848,customers!$A$1:$A$1001,customers!$B$1:$B$1001,,0)</f>
        <v>Edin Mathe</v>
      </c>
      <c r="G848" s="2" t="str">
        <f>IF(_xlfn.XLOOKUP(orders!C848,customers!$A$1:$A$1001,customers!$C$1:$C$1001,,0)=0,"",_xlfn.XLOOKUP(orders!C848,customers!$A$1:$A$1001,customers!$C$1:$C$1001,,0))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40"/>
        <v>51.749999999999993</v>
      </c>
      <c r="N848" t="str">
        <f t="shared" si="42"/>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_xlfn.XLOOKUP(orders!C849,customers!$A$1:$A$1001,customers!$B$1:$B$1001,,0)</f>
        <v>Mordy Van Der Vlies</v>
      </c>
      <c r="G849" s="2" t="str">
        <f>IF(_xlfn.XLOOKUP(orders!C849,customers!$A$1:$A$1001,customers!$C$1:$C$1001,,0)=0,"",_xlfn.XLOOKUP(orders!C849,customers!$A$1:$A$1001,customers!$C$1:$C$1001,,0))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40"/>
        <v>8.9550000000000001</v>
      </c>
      <c r="N849" t="str">
        <f t="shared" si="42"/>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_xlfn.XLOOKUP(orders!C850,customers!$A$1:$A$1001,customers!$B$1:$B$1001,,0)</f>
        <v>Spencer Wastell</v>
      </c>
      <c r="G850" s="2" t="str">
        <f>IF(_xlfn.XLOOKUP(orders!C850,customers!$A$1:$A$1001,customers!$C$1:$C$1001,,0)=0,"",_xlfn.XLOOKUP(orders!C850,customers!$A$1:$A$1001,customers!$C$1:$C$1001,,0))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40"/>
        <v>53.46</v>
      </c>
      <c r="N850" t="str">
        <f t="shared" si="42"/>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_xlfn.XLOOKUP(orders!C851,customers!$A$1:$A$1001,customers!$B$1:$B$1001,,0)</f>
        <v>Jemimah Ethelston</v>
      </c>
      <c r="G851" s="2" t="str">
        <f>IF(_xlfn.XLOOKUP(orders!C851,customers!$A$1:$A$1001,customers!$C$1:$C$1001,,0)=0,"",_xlfn.XLOOKUP(orders!C851,customers!$A$1:$A$1001,customers!$C$1:$C$1001,,0))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40"/>
        <v>23.31</v>
      </c>
      <c r="N851" t="str">
        <f t="shared" si="42"/>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_xlfn.XLOOKUP(orders!C852,customers!$A$1:$A$1001,customers!$B$1:$B$1001,,0)</f>
        <v>Jemimah Ethelston</v>
      </c>
      <c r="G852" s="2" t="str">
        <f>IF(_xlfn.XLOOKUP(orders!C852,customers!$A$1:$A$1001,customers!$C$1:$C$1001,,0)=0,"",_xlfn.XLOOKUP(orders!C852,customers!$A$1:$A$1001,customers!$C$1:$C$1001,,0))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40"/>
        <v>6.75</v>
      </c>
      <c r="N852" t="str">
        <f t="shared" si="42"/>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_xlfn.XLOOKUP(orders!C853,customers!$A$1:$A$1001,customers!$B$1:$B$1001,,0)</f>
        <v>Perice Eberz</v>
      </c>
      <c r="G853" s="2" t="str">
        <f>IF(_xlfn.XLOOKUP(orders!C853,customers!$A$1:$A$1001,customers!$C$1:$C$1001,,0)=0,"",_xlfn.XLOOKUP(orders!C853,customers!$A$1:$A$1001,customers!$C$1:$C$1001,,0))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40"/>
        <v>7.77</v>
      </c>
      <c r="N853" t="str">
        <f t="shared" si="42"/>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_xlfn.XLOOKUP(orders!C854,customers!$A$1:$A$1001,customers!$B$1:$B$1001,,0)</f>
        <v>Bear Gaish</v>
      </c>
      <c r="G854" s="2" t="str">
        <f>IF(_xlfn.XLOOKUP(orders!C854,customers!$A$1:$A$1001,customers!$C$1:$C$1001,,0)=0,"",_xlfn.XLOOKUP(orders!C854,customers!$A$1:$A$1001,customers!$C$1:$C$1001,,0))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40"/>
        <v>119.13999999999999</v>
      </c>
      <c r="N854" t="str">
        <f t="shared" si="42"/>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_xlfn.XLOOKUP(orders!C855,customers!$A$1:$A$1001,customers!$B$1:$B$1001,,0)</f>
        <v>Lynnea Danton</v>
      </c>
      <c r="G855" s="2" t="str">
        <f>IF(_xlfn.XLOOKUP(orders!C855,customers!$A$1:$A$1001,customers!$C$1:$C$1001,,0)=0,"",_xlfn.XLOOKUP(orders!C855,customers!$A$1:$A$1001,customers!$C$1:$C$1001,,0))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40"/>
        <v>19.899999999999999</v>
      </c>
      <c r="N855" t="str">
        <f t="shared" si="42"/>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_xlfn.XLOOKUP(orders!C856,customers!$A$1:$A$1001,customers!$B$1:$B$1001,,0)</f>
        <v>Skipton Morrall</v>
      </c>
      <c r="G856" s="2" t="str">
        <f>IF(_xlfn.XLOOKUP(orders!C856,customers!$A$1:$A$1001,customers!$C$1:$C$1001,,0)=0,"",_xlfn.XLOOKUP(orders!C856,customers!$A$1:$A$1001,customers!$C$1:$C$1001,,0))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40"/>
        <v>35.849999999999994</v>
      </c>
      <c r="N856" t="str">
        <f t="shared" si="42"/>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_xlfn.XLOOKUP(orders!C857,customers!$A$1:$A$1001,customers!$B$1:$B$1001,,0)</f>
        <v>Devan Crownshaw</v>
      </c>
      <c r="G857" s="2" t="str">
        <f>IF(_xlfn.XLOOKUP(orders!C857,customers!$A$1:$A$1001,customers!$C$1:$C$1001,,0)=0,"",_xlfn.XLOOKUP(orders!C857,customers!$A$1:$A$1001,customers!$C$1:$C$1001,,0))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40"/>
        <v>89.35499999999999</v>
      </c>
      <c r="N857" t="str">
        <f t="shared" si="42"/>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_xlfn.XLOOKUP(orders!C858,customers!$A$1:$A$1001,customers!$B$1:$B$1001,,0)</f>
        <v>Odelia Skerme</v>
      </c>
      <c r="G858" s="2" t="str">
        <f>IF(_xlfn.XLOOKUP(orders!C858,customers!$A$1:$A$1001,customers!$C$1:$C$1001,,0)=0,"",_xlfn.XLOOKUP(orders!C858,customers!$A$1:$A$1001,customers!$C$1:$C$1001,,0))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40"/>
        <v>8.73</v>
      </c>
      <c r="N858" t="str">
        <f t="shared" si="42"/>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_xlfn.XLOOKUP(orders!C859,customers!$A$1:$A$1001,customers!$B$1:$B$1001,,0)</f>
        <v>Joceline Reddoch</v>
      </c>
      <c r="G859" s="2" t="str">
        <f>IF(_xlfn.XLOOKUP(orders!C859,customers!$A$1:$A$1001,customers!$C$1:$C$1001,,0)=0,"",_xlfn.XLOOKUP(orders!C859,customers!$A$1:$A$1001,customers!$C$1:$C$1001,,0))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40"/>
        <v>137.42499999999998</v>
      </c>
      <c r="N859" t="str">
        <f t="shared" si="42"/>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_xlfn.XLOOKUP(orders!C860,customers!$A$1:$A$1001,customers!$B$1:$B$1001,,0)</f>
        <v>Shelley Titley</v>
      </c>
      <c r="G860" s="2" t="str">
        <f>IF(_xlfn.XLOOKUP(orders!C860,customers!$A$1:$A$1001,customers!$C$1:$C$1001,,0)=0,"",_xlfn.XLOOKUP(orders!C860,customers!$A$1:$A$1001,customers!$C$1:$C$1001,,0))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40"/>
        <v>34.92</v>
      </c>
      <c r="N860" t="str">
        <f t="shared" si="42"/>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_xlfn.XLOOKUP(orders!C861,customers!$A$1:$A$1001,customers!$B$1:$B$1001,,0)</f>
        <v>Redd Simao</v>
      </c>
      <c r="G861" s="2" t="str">
        <f>IF(_xlfn.XLOOKUP(orders!C861,customers!$A$1:$A$1001,customers!$C$1:$C$1001,,0)=0,"",_xlfn.XLOOKUP(orders!C861,customers!$A$1:$A$1001,customers!$C$1:$C$1001,,0))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40"/>
        <v>178.70999999999998</v>
      </c>
      <c r="N861" t="str">
        <f t="shared" si="42"/>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_xlfn.XLOOKUP(orders!C862,customers!$A$1:$A$1001,customers!$B$1:$B$1001,,0)</f>
        <v>Cece Inker</v>
      </c>
      <c r="G862" s="2" t="str">
        <f>IF(_xlfn.XLOOKUP(orders!C862,customers!$A$1:$A$1001,customers!$C$1:$C$1001,,0)=0,"",_xlfn.XLOOKUP(orders!C862,customers!$A$1:$A$1001,customers!$C$1:$C$1001,,0))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40"/>
        <v>25.874999999999996</v>
      </c>
      <c r="N862" t="str">
        <f t="shared" si="42"/>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_xlfn.XLOOKUP(orders!C863,customers!$A$1:$A$1001,customers!$B$1:$B$1001,,0)</f>
        <v>Noel Chisholm</v>
      </c>
      <c r="G863" s="2" t="str">
        <f>IF(_xlfn.XLOOKUP(orders!C863,customers!$A$1:$A$1001,customers!$C$1:$C$1001,,0)=0,"",_xlfn.XLOOKUP(orders!C863,customers!$A$1:$A$1001,customers!$C$1:$C$1001,,0))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40"/>
        <v>77.699999999999989</v>
      </c>
      <c r="N863" t="str">
        <f t="shared" si="42"/>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_xlfn.XLOOKUP(orders!C864,customers!$A$1:$A$1001,customers!$B$1:$B$1001,,0)</f>
        <v>Grazia Oats</v>
      </c>
      <c r="G864" s="2" t="str">
        <f>IF(_xlfn.XLOOKUP(orders!C864,customers!$A$1:$A$1001,customers!$C$1:$C$1001,,0)=0,"",_xlfn.XLOOKUP(orders!C864,customers!$A$1:$A$1001,customers!$C$1:$C$1001,,0))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40"/>
        <v>9.9499999999999993</v>
      </c>
      <c r="N864" t="str">
        <f t="shared" si="42"/>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_xlfn.XLOOKUP(orders!C865,customers!$A$1:$A$1001,customers!$B$1:$B$1001,,0)</f>
        <v>Meade Birkin</v>
      </c>
      <c r="G865" s="2" t="str">
        <f>IF(_xlfn.XLOOKUP(orders!C865,customers!$A$1:$A$1001,customers!$C$1:$C$1001,,0)=0,"",_xlfn.XLOOKUP(orders!C865,customers!$A$1:$A$1001,customers!$C$1:$C$1001,,0))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40"/>
        <v>29.1</v>
      </c>
      <c r="N865" t="str">
        <f t="shared" si="42"/>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_xlfn.XLOOKUP(orders!C866,customers!$A$1:$A$1001,customers!$B$1:$B$1001,,0)</f>
        <v>Ronda Pyson</v>
      </c>
      <c r="G866" s="2" t="str">
        <f>IF(_xlfn.XLOOKUP(orders!C866,customers!$A$1:$A$1001,customers!$C$1:$C$1001,,0)=0,"",_xlfn.XLOOKUP(orders!C866,customers!$A$1:$A$1001,customers!$C$1:$C$1001,,0))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40"/>
        <v>21.509999999999998</v>
      </c>
      <c r="N866" t="str">
        <f t="shared" si="42"/>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_xlfn.XLOOKUP(orders!C867,customers!$A$1:$A$1001,customers!$B$1:$B$1001,,0)</f>
        <v>Modesty MacConnechie</v>
      </c>
      <c r="G867" s="2" t="str">
        <f>IF(_xlfn.XLOOKUP(orders!C867,customers!$A$1:$A$1001,customers!$C$1:$C$1001,,0)=0,"",_xlfn.XLOOKUP(orders!C867,customers!$A$1:$A$1001,customers!$C$1:$C$1001,,0))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40"/>
        <v>6.75</v>
      </c>
      <c r="N867" t="str">
        <f t="shared" si="42"/>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_xlfn.XLOOKUP(orders!C868,customers!$A$1:$A$1001,customers!$B$1:$B$1001,,0)</f>
        <v>Rafaela Treacher</v>
      </c>
      <c r="G868" s="2" t="str">
        <f>IF(_xlfn.XLOOKUP(orders!C868,customers!$A$1:$A$1001,customers!$C$1:$C$1001,,0)=0,"",_xlfn.XLOOKUP(orders!C868,customers!$A$1:$A$1001,customers!$C$1:$C$1001,,0))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40"/>
        <v>17.91</v>
      </c>
      <c r="N868" t="str">
        <f t="shared" si="42"/>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_xlfn.XLOOKUP(orders!C869,customers!$A$1:$A$1001,customers!$B$1:$B$1001,,0)</f>
        <v>Bee Fattorini</v>
      </c>
      <c r="G869" s="2" t="str">
        <f>IF(_xlfn.XLOOKUP(orders!C869,customers!$A$1:$A$1001,customers!$C$1:$C$1001,,0)=0,"",_xlfn.XLOOKUP(orders!C869,customers!$A$1:$A$1001,customers!$C$1:$C$1001,,0))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40"/>
        <v>29.784999999999997</v>
      </c>
      <c r="N869" t="str">
        <f t="shared" si="42"/>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_xlfn.XLOOKUP(orders!C870,customers!$A$1:$A$1001,customers!$B$1:$B$1001,,0)</f>
        <v>Margie Palleske</v>
      </c>
      <c r="G870" s="2" t="str">
        <f>IF(_xlfn.XLOOKUP(orders!C870,customers!$A$1:$A$1001,customers!$C$1:$C$1001,,0)=0,"",_xlfn.XLOOKUP(orders!C870,customers!$A$1:$A$1001,customers!$C$1:$C$1001,,0))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40"/>
        <v>41.25</v>
      </c>
      <c r="N870" t="str">
        <f t="shared" si="42"/>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_xlfn.XLOOKUP(orders!C871,customers!$A$1:$A$1001,customers!$B$1:$B$1001,,0)</f>
        <v>Alexina Randals</v>
      </c>
      <c r="G871" s="2" t="str">
        <f>IF(_xlfn.XLOOKUP(orders!C871,customers!$A$1:$A$1001,customers!$C$1:$C$1001,,0)=0,"",_xlfn.XLOOKUP(orders!C871,customers!$A$1:$A$1001,customers!$C$1:$C$1001,,0))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40"/>
        <v>17.91</v>
      </c>
      <c r="N871" t="str">
        <f t="shared" si="42"/>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_xlfn.XLOOKUP(orders!C872,customers!$A$1:$A$1001,customers!$B$1:$B$1001,,0)</f>
        <v>Filip Antcliffe</v>
      </c>
      <c r="G872" s="2" t="str">
        <f>IF(_xlfn.XLOOKUP(orders!C872,customers!$A$1:$A$1001,customers!$C$1:$C$1001,,0)=0,"",_xlfn.XLOOKUP(orders!C872,customers!$A$1:$A$1001,customers!$C$1:$C$1001,,0))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40"/>
        <v>7.29</v>
      </c>
      <c r="N872" t="str">
        <f t="shared" si="42"/>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_xlfn.XLOOKUP(orders!C873,customers!$A$1:$A$1001,customers!$B$1:$B$1001,,0)</f>
        <v>Peyter Matignon</v>
      </c>
      <c r="G873" s="2" t="str">
        <f>IF(_xlfn.XLOOKUP(orders!C873,customers!$A$1:$A$1001,customers!$C$1:$C$1001,,0)=0,"",_xlfn.XLOOKUP(orders!C873,customers!$A$1:$A$1001,customers!$C$1:$C$1001,,0))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40"/>
        <v>29.7</v>
      </c>
      <c r="N873" t="str">
        <f t="shared" si="42"/>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_xlfn.XLOOKUP(orders!C874,customers!$A$1:$A$1001,customers!$B$1:$B$1001,,0)</f>
        <v>Claudie Weond</v>
      </c>
      <c r="G874" s="2" t="str">
        <f>IF(_xlfn.XLOOKUP(orders!C874,customers!$A$1:$A$1001,customers!$C$1:$C$1001,,0)=0,"",_xlfn.XLOOKUP(orders!C874,customers!$A$1:$A$1001,customers!$C$1:$C$1001,,0))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40"/>
        <v>22.5</v>
      </c>
      <c r="N874" t="str">
        <f t="shared" si="42"/>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_xlfn.XLOOKUP(orders!C875,customers!$A$1:$A$1001,customers!$B$1:$B$1001,,0)</f>
        <v>Modesty MacConnechie</v>
      </c>
      <c r="G875" s="2" t="str">
        <f>IF(_xlfn.XLOOKUP(orders!C875,customers!$A$1:$A$1001,customers!$C$1:$C$1001,,0)=0,"",_xlfn.XLOOKUP(orders!C875,customers!$A$1:$A$1001,customers!$C$1:$C$1001,,0))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40"/>
        <v>11.94</v>
      </c>
      <c r="N875" t="str">
        <f t="shared" si="42"/>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_xlfn.XLOOKUP(orders!C876,customers!$A$1:$A$1001,customers!$B$1:$B$1001,,0)</f>
        <v>Jaquenette Skentelbery</v>
      </c>
      <c r="G876" s="2" t="str">
        <f>IF(_xlfn.XLOOKUP(orders!C876,customers!$A$1:$A$1001,customers!$C$1:$C$1001,,0)=0,"",_xlfn.XLOOKUP(orders!C876,customers!$A$1:$A$1001,customers!$C$1:$C$1001,,0))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40"/>
        <v>25.9</v>
      </c>
      <c r="N876" t="str">
        <f t="shared" si="42"/>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_xlfn.XLOOKUP(orders!C877,customers!$A$1:$A$1001,customers!$B$1:$B$1001,,0)</f>
        <v>Orazio Comber</v>
      </c>
      <c r="G877" s="2" t="str">
        <f>IF(_xlfn.XLOOKUP(orders!C877,customers!$A$1:$A$1001,customers!$C$1:$C$1001,,0)=0,"",_xlfn.XLOOKUP(orders!C877,customers!$A$1:$A$1001,customers!$C$1:$C$1001,,0))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40"/>
        <v>43.650000000000006</v>
      </c>
      <c r="N877" t="str">
        <f t="shared" si="42"/>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_xlfn.XLOOKUP(orders!C878,customers!$A$1:$A$1001,customers!$B$1:$B$1001,,0)</f>
        <v>Orazio Comber</v>
      </c>
      <c r="G878" s="2" t="str">
        <f>IF(_xlfn.XLOOKUP(orders!C878,customers!$A$1:$A$1001,customers!$C$1:$C$1001,,0)=0,"",_xlfn.XLOOKUP(orders!C878,customers!$A$1:$A$1001,customers!$C$1:$C$1001,,0))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40"/>
        <v>46.62</v>
      </c>
      <c r="N878" t="str">
        <f t="shared" si="42"/>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_xlfn.XLOOKUP(orders!C879,customers!$A$1:$A$1001,customers!$B$1:$B$1001,,0)</f>
        <v>Zachary Tramel</v>
      </c>
      <c r="G879" s="2" t="str">
        <f>IF(_xlfn.XLOOKUP(orders!C879,customers!$A$1:$A$1001,customers!$C$1:$C$1001,,0)=0,"",_xlfn.XLOOKUP(orders!C879,customers!$A$1:$A$1001,customers!$C$1:$C$1001,,0))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40"/>
        <v>28.53</v>
      </c>
      <c r="N879" t="str">
        <f t="shared" si="42"/>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_xlfn.XLOOKUP(orders!C880,customers!$A$1:$A$1001,customers!$B$1:$B$1001,,0)</f>
        <v>Izaak Primak</v>
      </c>
      <c r="G880" s="2" t="str">
        <f>IF(_xlfn.XLOOKUP(orders!C880,customers!$A$1:$A$1001,customers!$C$1:$C$1001,,0)=0,"",_xlfn.XLOOKUP(orders!C880,customers!$A$1:$A$1001,customers!$C$1:$C$1001,,0))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40"/>
        <v>27.484999999999996</v>
      </c>
      <c r="N880" t="str">
        <f t="shared" si="42"/>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_xlfn.XLOOKUP(orders!C881,customers!$A$1:$A$1001,customers!$B$1:$B$1001,,0)</f>
        <v>Brittani Thoresbie</v>
      </c>
      <c r="G881" s="2" t="str">
        <f>IF(_xlfn.XLOOKUP(orders!C881,customers!$A$1:$A$1001,customers!$C$1:$C$1001,,0)=0,"",_xlfn.XLOOKUP(orders!C881,customers!$A$1:$A$1001,customers!$C$1:$C$1001,,0))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40"/>
        <v>10.935</v>
      </c>
      <c r="N881" t="str">
        <f t="shared" si="42"/>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_xlfn.XLOOKUP(orders!C882,customers!$A$1:$A$1001,customers!$B$1:$B$1001,,0)</f>
        <v>Constanta Hatfull</v>
      </c>
      <c r="G882" s="2" t="str">
        <f>IF(_xlfn.XLOOKUP(orders!C882,customers!$A$1:$A$1001,customers!$C$1:$C$1001,,0)=0,"",_xlfn.XLOOKUP(orders!C882,customers!$A$1:$A$1001,customers!$C$1:$C$1001,,0))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40"/>
        <v>7.169999999999999</v>
      </c>
      <c r="N882" t="str">
        <f t="shared" si="42"/>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_xlfn.XLOOKUP(orders!C883,customers!$A$1:$A$1001,customers!$B$1:$B$1001,,0)</f>
        <v>Bobbe Castagneto</v>
      </c>
      <c r="G883" s="2" t="str">
        <f>IF(_xlfn.XLOOKUP(orders!C883,customers!$A$1:$A$1001,customers!$C$1:$C$1001,,0)=0,"",_xlfn.XLOOKUP(orders!C883,customers!$A$1:$A$1001,customers!$C$1:$C$1001,,0))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40"/>
        <v>23.31</v>
      </c>
      <c r="N883" t="str">
        <f t="shared" si="42"/>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_xlfn.XLOOKUP(orders!C884,customers!$A$1:$A$1001,customers!$B$1:$B$1001,,0)</f>
        <v>Kippie Marrison</v>
      </c>
      <c r="G884" s="2" t="str">
        <f>IF(_xlfn.XLOOKUP(orders!C884,customers!$A$1:$A$1001,customers!$C$1:$C$1001,,0)=0,"",_xlfn.XLOOKUP(orders!C884,customers!$A$1:$A$1001,customers!$C$1:$C$1001,,0))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40"/>
        <v>114.42499999999998</v>
      </c>
      <c r="N884" t="str">
        <f t="shared" si="42"/>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_xlfn.XLOOKUP(orders!C885,customers!$A$1:$A$1001,customers!$B$1:$B$1001,,0)</f>
        <v>Lindon Agnolo</v>
      </c>
      <c r="G885" s="2" t="str">
        <f>IF(_xlfn.XLOOKUP(orders!C885,customers!$A$1:$A$1001,customers!$C$1:$C$1001,,0)=0,"",_xlfn.XLOOKUP(orders!C885,customers!$A$1:$A$1001,customers!$C$1:$C$1001,,0))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40"/>
        <v>77.624999999999986</v>
      </c>
      <c r="N885" t="str">
        <f t="shared" si="42"/>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_xlfn.XLOOKUP(orders!C886,customers!$A$1:$A$1001,customers!$B$1:$B$1001,,0)</f>
        <v>Delainey Kiddy</v>
      </c>
      <c r="G886" s="2" t="str">
        <f>IF(_xlfn.XLOOKUP(orders!C886,customers!$A$1:$A$1001,customers!$C$1:$C$1001,,0)=0,"",_xlfn.XLOOKUP(orders!C886,customers!$A$1:$A$1001,customers!$C$1:$C$1001,,0))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40"/>
        <v>5.3699999999999992</v>
      </c>
      <c r="N886" t="str">
        <f t="shared" si="42"/>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_xlfn.XLOOKUP(orders!C887,customers!$A$1:$A$1001,customers!$B$1:$B$1001,,0)</f>
        <v>Helli Petroulis</v>
      </c>
      <c r="G887" s="2" t="str">
        <f>IF(_xlfn.XLOOKUP(orders!C887,customers!$A$1:$A$1001,customers!$C$1:$C$1001,,0)=0,"",_xlfn.XLOOKUP(orders!C887,customers!$A$1:$A$1001,customers!$C$1:$C$1001,,0))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40"/>
        <v>123.50999999999999</v>
      </c>
      <c r="N887" t="str">
        <f t="shared" si="42"/>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_xlfn.XLOOKUP(orders!C888,customers!$A$1:$A$1001,customers!$B$1:$B$1001,,0)</f>
        <v>Marty Scholl</v>
      </c>
      <c r="G888" s="2" t="str">
        <f>IF(_xlfn.XLOOKUP(orders!C888,customers!$A$1:$A$1001,customers!$C$1:$C$1001,,0)=0,"",_xlfn.XLOOKUP(orders!C888,customers!$A$1:$A$1001,customers!$C$1:$C$1001,,0))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40"/>
        <v>17.46</v>
      </c>
      <c r="N888" t="str">
        <f t="shared" si="42"/>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_xlfn.XLOOKUP(orders!C889,customers!$A$1:$A$1001,customers!$B$1:$B$1001,,0)</f>
        <v>Kienan Ferson</v>
      </c>
      <c r="G889" s="2" t="str">
        <f>IF(_xlfn.XLOOKUP(orders!C889,customers!$A$1:$A$1001,customers!$C$1:$C$1001,,0)=0,"",_xlfn.XLOOKUP(orders!C889,customers!$A$1:$A$1001,customers!$C$1:$C$1001,,0))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40"/>
        <v>13.365</v>
      </c>
      <c r="N889" t="str">
        <f t="shared" si="42"/>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_xlfn.XLOOKUP(orders!C890,customers!$A$1:$A$1001,customers!$B$1:$B$1001,,0)</f>
        <v>Blake Kelloway</v>
      </c>
      <c r="G890" s="2" t="str">
        <f>IF(_xlfn.XLOOKUP(orders!C890,customers!$A$1:$A$1001,customers!$C$1:$C$1001,,0)=0,"",_xlfn.XLOOKUP(orders!C890,customers!$A$1:$A$1001,customers!$C$1:$C$1001,,0))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40"/>
        <v>7.77</v>
      </c>
      <c r="N890" t="str">
        <f t="shared" si="42"/>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_xlfn.XLOOKUP(orders!C891,customers!$A$1:$A$1001,customers!$B$1:$B$1001,,0)</f>
        <v>Scarlett Oliffe</v>
      </c>
      <c r="G891" s="2" t="str">
        <f>IF(_xlfn.XLOOKUP(orders!C891,customers!$A$1:$A$1001,customers!$C$1:$C$1001,,0)=0,"",_xlfn.XLOOKUP(orders!C891,customers!$A$1:$A$1001,customers!$C$1:$C$1001,,0))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40"/>
        <v>2.6849999999999996</v>
      </c>
      <c r="N891" t="str">
        <f t="shared" si="42"/>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_xlfn.XLOOKUP(orders!C892,customers!$A$1:$A$1001,customers!$B$1:$B$1001,,0)</f>
        <v>Kippie Marrison</v>
      </c>
      <c r="G892" s="2" t="str">
        <f>IF(_xlfn.XLOOKUP(orders!C892,customers!$A$1:$A$1001,customers!$C$1:$C$1001,,0)=0,"",_xlfn.XLOOKUP(orders!C892,customers!$A$1:$A$1001,customers!$C$1:$C$1001,,0))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40"/>
        <v>20.584999999999997</v>
      </c>
      <c r="N892" t="str">
        <f t="shared" si="42"/>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_xlfn.XLOOKUP(orders!C893,customers!$A$1:$A$1001,customers!$B$1:$B$1001,,0)</f>
        <v>Celestia Dolohunty</v>
      </c>
      <c r="G893" s="2" t="str">
        <f>IF(_xlfn.XLOOKUP(orders!C893,customers!$A$1:$A$1001,customers!$C$1:$C$1001,,0)=0,"",_xlfn.XLOOKUP(orders!C893,customers!$A$1:$A$1001,customers!$C$1:$C$1001,,0))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40"/>
        <v>114.42499999999998</v>
      </c>
      <c r="N893" t="str">
        <f t="shared" si="42"/>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_xlfn.XLOOKUP(orders!C894,customers!$A$1:$A$1001,customers!$B$1:$B$1001,,0)</f>
        <v>Patsy Vasilenko</v>
      </c>
      <c r="G894" s="2" t="str">
        <f>IF(_xlfn.XLOOKUP(orders!C894,customers!$A$1:$A$1001,customers!$C$1:$C$1001,,0)=0,"",_xlfn.XLOOKUP(orders!C894,customers!$A$1:$A$1001,customers!$C$1:$C$1001,,0))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40"/>
        <v>20.625</v>
      </c>
      <c r="N894" t="str">
        <f t="shared" si="42"/>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_xlfn.XLOOKUP(orders!C895,customers!$A$1:$A$1001,customers!$B$1:$B$1001,,0)</f>
        <v>Raphaela Schankelborg</v>
      </c>
      <c r="G895" s="2" t="str">
        <f>IF(_xlfn.XLOOKUP(orders!C895,customers!$A$1:$A$1001,customers!$C$1:$C$1001,,0)=0,"",_xlfn.XLOOKUP(orders!C895,customers!$A$1:$A$1001,customers!$C$1:$C$1001,,0))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40"/>
        <v>57.06</v>
      </c>
      <c r="N895" t="str">
        <f t="shared" si="42"/>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_xlfn.XLOOKUP(orders!C896,customers!$A$1:$A$1001,customers!$B$1:$B$1001,,0)</f>
        <v>Sharity Wickens</v>
      </c>
      <c r="G896" s="2" t="str">
        <f>IF(_xlfn.XLOOKUP(orders!C896,customers!$A$1:$A$1001,customers!$C$1:$C$1001,,0)=0,"",_xlfn.XLOOKUP(orders!C896,customers!$A$1:$A$1001,customers!$C$1:$C$1001,,0))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40"/>
        <v>82.339999999999989</v>
      </c>
      <c r="N896" t="str">
        <f t="shared" si="42"/>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_xlfn.XLOOKUP(orders!C897,customers!$A$1:$A$1001,customers!$B$1:$B$1001,,0)</f>
        <v>Derick Snow</v>
      </c>
      <c r="G897" s="2" t="str">
        <f>IF(_xlfn.XLOOKUP(orders!C897,customers!$A$1:$A$1001,customers!$C$1:$C$1001,,0)=0,"",_xlfn.XLOOKUP(orders!C897,customers!$A$1:$A$1001,customers!$C$1:$C$1001,,0))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40"/>
        <v>158.12499999999997</v>
      </c>
      <c r="N897" t="str">
        <f t="shared" si="42"/>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_xlfn.XLOOKUP(orders!C898,customers!$A$1:$A$1001,customers!$B$1:$B$1001,,0)</f>
        <v>Baxy Cargen</v>
      </c>
      <c r="G898" s="2" t="str">
        <f>IF(_xlfn.XLOOKUP(orders!C898,customers!$A$1:$A$1001,customers!$C$1:$C$1001,,0)=0,"",_xlfn.XLOOKUP(orders!C898,customers!$A$1:$A$1001,customers!$C$1:$C$1001,,0))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40"/>
        <v>32.22</v>
      </c>
      <c r="N898" t="str">
        <f t="shared" si="42"/>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_xlfn.XLOOKUP(orders!C899,customers!$A$1:$A$1001,customers!$B$1:$B$1001,,0)</f>
        <v>Ryann Stickler</v>
      </c>
      <c r="G899" s="2" t="str">
        <f>IF(_xlfn.XLOOKUP(orders!C899,customers!$A$1:$A$1001,customers!$C$1:$C$1001,,0)=0,"",_xlfn.XLOOKUP(orders!C899,customers!$A$1:$A$1001,customers!$C$1:$C$1001,,0))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3">L899*E899</f>
        <v>24.3</v>
      </c>
      <c r="N899" t="str">
        <f t="shared" si="42"/>
        <v>Excelsa</v>
      </c>
      <c r="O899" t="str">
        <f t="shared" ref="O899:O962" si="44">IF(J899="M","Medium",IF(J899= "L", "Light",IF(J899="D", "Dark","")))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_xlfn.XLOOKUP(orders!C900,customers!$A$1:$A$1001,customers!$B$1:$B$1001,,0)</f>
        <v>Daryn Cassius</v>
      </c>
      <c r="G900" s="2" t="str">
        <f>IF(_xlfn.XLOOKUP(orders!C900,customers!$A$1:$A$1001,customers!$C$1:$C$1001,,0)=0,"",_xlfn.XLOOKUP(orders!C900,customers!$A$1:$A$1001,customers!$C$1:$C$1001,,0))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3"/>
        <v>35.849999999999994</v>
      </c>
      <c r="N900" t="str">
        <f t="shared" si="42"/>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_xlfn.XLOOKUP(orders!C901,customers!$A$1:$A$1001,customers!$B$1:$B$1001,,0)</f>
        <v>Derick Snow</v>
      </c>
      <c r="G901" s="2" t="str">
        <f>IF(_xlfn.XLOOKUP(orders!C901,customers!$A$1:$A$1001,customers!$C$1:$C$1001,,0)=0,"",_xlfn.XLOOKUP(orders!C901,customers!$A$1:$A$1001,customers!$C$1:$C$1001,,0))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3"/>
        <v>72.75</v>
      </c>
      <c r="N901" t="str">
        <f t="shared" si="42"/>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_xlfn.XLOOKUP(orders!C902,customers!$A$1:$A$1001,customers!$B$1:$B$1001,,0)</f>
        <v>Skelly Dolohunty</v>
      </c>
      <c r="G902" s="2" t="str">
        <f>IF(_xlfn.XLOOKUP(orders!C902,customers!$A$1:$A$1001,customers!$C$1:$C$1001,,0)=0,"",_xlfn.XLOOKUP(orders!C902,customers!$A$1:$A$1001,customers!$C$1:$C$1001,,0))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3"/>
        <v>47.55</v>
      </c>
      <c r="N902" t="str">
        <f t="shared" si="42"/>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_xlfn.XLOOKUP(orders!C903,customers!$A$1:$A$1001,customers!$B$1:$B$1001,,0)</f>
        <v>Drake Jevon</v>
      </c>
      <c r="G903" s="2" t="str">
        <f>IF(_xlfn.XLOOKUP(orders!C903,customers!$A$1:$A$1001,customers!$C$1:$C$1001,,0)=0,"",_xlfn.XLOOKUP(orders!C903,customers!$A$1:$A$1001,customers!$C$1:$C$1001,,0))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3"/>
        <v>3.5849999999999995</v>
      </c>
      <c r="N903" t="str">
        <f t="shared" si="42"/>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_xlfn.XLOOKUP(orders!C904,customers!$A$1:$A$1001,customers!$B$1:$B$1001,,0)</f>
        <v>Hall Ranner</v>
      </c>
      <c r="G904" s="2" t="str">
        <f>IF(_xlfn.XLOOKUP(orders!C904,customers!$A$1:$A$1001,customers!$C$1:$C$1001,,0)=0,"",_xlfn.XLOOKUP(orders!C904,customers!$A$1:$A$1001,customers!$C$1:$C$1001,,0))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3"/>
        <v>158.12499999999997</v>
      </c>
      <c r="N904" t="str">
        <f t="shared" ref="N904:N967" si="45">IF(I904="Rob","Robusta",IF(I904="Exc","Excelsa",IF(I904="Ara","Arabica",IF(I904="Lib","Liberica"))))</f>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_xlfn.XLOOKUP(orders!C905,customers!$A$1:$A$1001,customers!$B$1:$B$1001,,0)</f>
        <v>Berkly Imrie</v>
      </c>
      <c r="G905" s="2" t="str">
        <f>IF(_xlfn.XLOOKUP(orders!C905,customers!$A$1:$A$1001,customers!$C$1:$C$1001,,0)=0,"",_xlfn.XLOOKUP(orders!C905,customers!$A$1:$A$1001,customers!$C$1:$C$1001,,0))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3"/>
        <v>17.46</v>
      </c>
      <c r="N905" t="str">
        <f t="shared" si="45"/>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_xlfn.XLOOKUP(orders!C906,customers!$A$1:$A$1001,customers!$B$1:$B$1001,,0)</f>
        <v>Dorey Sopper</v>
      </c>
      <c r="G906" s="2" t="str">
        <f>IF(_xlfn.XLOOKUP(orders!C906,customers!$A$1:$A$1001,customers!$C$1:$C$1001,,0)=0,"",_xlfn.XLOOKUP(orders!C906,customers!$A$1:$A$1001,customers!$C$1:$C$1001,,0))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3"/>
        <v>148.92499999999998</v>
      </c>
      <c r="N906" t="str">
        <f t="shared" si="45"/>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_xlfn.XLOOKUP(orders!C907,customers!$A$1:$A$1001,customers!$B$1:$B$1001,,0)</f>
        <v>Darcy Lochran</v>
      </c>
      <c r="G907" s="2" t="str">
        <f>IF(_xlfn.XLOOKUP(orders!C907,customers!$A$1:$A$1001,customers!$C$1:$C$1001,,0)=0,"",_xlfn.XLOOKUP(orders!C907,customers!$A$1:$A$1001,customers!$C$1:$C$1001,,0))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3"/>
        <v>40.5</v>
      </c>
      <c r="N907" t="str">
        <f t="shared" si="45"/>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_xlfn.XLOOKUP(orders!C908,customers!$A$1:$A$1001,customers!$B$1:$B$1001,,0)</f>
        <v>Lauritz Ledgley</v>
      </c>
      <c r="G908" s="2" t="str">
        <f>IF(_xlfn.XLOOKUP(orders!C908,customers!$A$1:$A$1001,customers!$C$1:$C$1001,,0)=0,"",_xlfn.XLOOKUP(orders!C908,customers!$A$1:$A$1001,customers!$C$1:$C$1001,,0))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3"/>
        <v>27</v>
      </c>
      <c r="N908" t="str">
        <f t="shared" si="45"/>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_xlfn.XLOOKUP(orders!C909,customers!$A$1:$A$1001,customers!$B$1:$B$1001,,0)</f>
        <v>Tawnya Menary</v>
      </c>
      <c r="G909" s="2" t="str">
        <f>IF(_xlfn.XLOOKUP(orders!C909,customers!$A$1:$A$1001,customers!$C$1:$C$1001,,0)=0,"",_xlfn.XLOOKUP(orders!C909,customers!$A$1:$A$1001,customers!$C$1:$C$1001,,0))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3"/>
        <v>38.849999999999994</v>
      </c>
      <c r="N909" t="str">
        <f t="shared" si="45"/>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_xlfn.XLOOKUP(orders!C910,customers!$A$1:$A$1001,customers!$B$1:$B$1001,,0)</f>
        <v>Gustaf Ciccotti</v>
      </c>
      <c r="G910" s="2" t="str">
        <f>IF(_xlfn.XLOOKUP(orders!C910,customers!$A$1:$A$1001,customers!$C$1:$C$1001,,0)=0,"",_xlfn.XLOOKUP(orders!C910,customers!$A$1:$A$1001,customers!$C$1:$C$1001,,0))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3"/>
        <v>59.75</v>
      </c>
      <c r="N910" t="str">
        <f t="shared" si="45"/>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_xlfn.XLOOKUP(orders!C911,customers!$A$1:$A$1001,customers!$B$1:$B$1001,,0)</f>
        <v>Bobbe Renner</v>
      </c>
      <c r="G911" s="2" t="str">
        <f>IF(_xlfn.XLOOKUP(orders!C911,customers!$A$1:$A$1001,customers!$C$1:$C$1001,,0)=0,"",_xlfn.XLOOKUP(orders!C911,customers!$A$1:$A$1001,customers!$C$1:$C$1001,,0))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3"/>
        <v>10.754999999999999</v>
      </c>
      <c r="N911" t="str">
        <f t="shared" si="45"/>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_xlfn.XLOOKUP(orders!C912,customers!$A$1:$A$1001,customers!$B$1:$B$1001,,0)</f>
        <v>Wilton Jallin</v>
      </c>
      <c r="G912" s="2" t="str">
        <f>IF(_xlfn.XLOOKUP(orders!C912,customers!$A$1:$A$1001,customers!$C$1:$C$1001,,0)=0,"",_xlfn.XLOOKUP(orders!C912,customers!$A$1:$A$1001,customers!$C$1:$C$1001,,0))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3"/>
        <v>91.539999999999992</v>
      </c>
      <c r="N912" t="str">
        <f t="shared" si="45"/>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_xlfn.XLOOKUP(orders!C913,customers!$A$1:$A$1001,customers!$B$1:$B$1001,,0)</f>
        <v>Mindy Bogey</v>
      </c>
      <c r="G913" s="2" t="str">
        <f>IF(_xlfn.XLOOKUP(orders!C913,customers!$A$1:$A$1001,customers!$C$1:$C$1001,,0)=0,"",_xlfn.XLOOKUP(orders!C913,customers!$A$1:$A$1001,customers!$C$1:$C$1001,,0))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3"/>
        <v>45</v>
      </c>
      <c r="N913" t="str">
        <f t="shared" si="45"/>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_xlfn.XLOOKUP(orders!C914,customers!$A$1:$A$1001,customers!$B$1:$B$1001,,0)</f>
        <v>Paulie Fonzone</v>
      </c>
      <c r="G914" s="2" t="str">
        <f>IF(_xlfn.XLOOKUP(orders!C914,customers!$A$1:$A$1001,customers!$C$1:$C$1001,,0)=0,"",_xlfn.XLOOKUP(orders!C914,customers!$A$1:$A$1001,customers!$C$1:$C$1001,,0))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3"/>
        <v>137.31</v>
      </c>
      <c r="N914" t="str">
        <f t="shared" si="45"/>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_xlfn.XLOOKUP(orders!C915,customers!$A$1:$A$1001,customers!$B$1:$B$1001,,0)</f>
        <v>Merrile Cobbledick</v>
      </c>
      <c r="G915" s="2" t="str">
        <f>IF(_xlfn.XLOOKUP(orders!C915,customers!$A$1:$A$1001,customers!$C$1:$C$1001,,0)=0,"",_xlfn.XLOOKUP(orders!C915,customers!$A$1:$A$1001,customers!$C$1:$C$1001,,0))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3"/>
        <v>6.75</v>
      </c>
      <c r="N915" t="str">
        <f t="shared" si="45"/>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_xlfn.XLOOKUP(orders!C916,customers!$A$1:$A$1001,customers!$B$1:$B$1001,,0)</f>
        <v>Antonius Lewry</v>
      </c>
      <c r="G916" s="2" t="str">
        <f>IF(_xlfn.XLOOKUP(orders!C916,customers!$A$1:$A$1001,customers!$C$1:$C$1001,,0)=0,"",_xlfn.XLOOKUP(orders!C916,customers!$A$1:$A$1001,customers!$C$1:$C$1001,,0))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3"/>
        <v>45</v>
      </c>
      <c r="N916" t="str">
        <f t="shared" si="45"/>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_xlfn.XLOOKUP(orders!C917,customers!$A$1:$A$1001,customers!$B$1:$B$1001,,0)</f>
        <v>Isis Hessel</v>
      </c>
      <c r="G917" s="2" t="str">
        <f>IF(_xlfn.XLOOKUP(orders!C917,customers!$A$1:$A$1001,customers!$C$1:$C$1001,,0)=0,"",_xlfn.XLOOKUP(orders!C917,customers!$A$1:$A$1001,customers!$C$1:$C$1001,,0))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3"/>
        <v>83.835000000000008</v>
      </c>
      <c r="N917" t="str">
        <f t="shared" si="45"/>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_xlfn.XLOOKUP(orders!C918,customers!$A$1:$A$1001,customers!$B$1:$B$1001,,0)</f>
        <v>Harland Trematick</v>
      </c>
      <c r="G918" s="2" t="str">
        <f>IF(_xlfn.XLOOKUP(orders!C918,customers!$A$1:$A$1001,customers!$C$1:$C$1001,,0)=0,"",_xlfn.XLOOKUP(orders!C918,customers!$A$1:$A$1001,customers!$C$1:$C$1001,,0))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3"/>
        <v>3.645</v>
      </c>
      <c r="N918" t="str">
        <f t="shared" si="45"/>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_xlfn.XLOOKUP(orders!C919,customers!$A$1:$A$1001,customers!$B$1:$B$1001,,0)</f>
        <v>Chloris Sorrell</v>
      </c>
      <c r="G919" s="2" t="str">
        <f>IF(_xlfn.XLOOKUP(orders!C919,customers!$A$1:$A$1001,customers!$C$1:$C$1001,,0)=0,"",_xlfn.XLOOKUP(orders!C919,customers!$A$1:$A$1001,customers!$C$1:$C$1001,,0))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3"/>
        <v>6.75</v>
      </c>
      <c r="N919" t="str">
        <f t="shared" si="45"/>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_xlfn.XLOOKUP(orders!C920,customers!$A$1:$A$1001,customers!$B$1:$B$1001,,0)</f>
        <v>Chloris Sorrell</v>
      </c>
      <c r="G920" s="2" t="str">
        <f>IF(_xlfn.XLOOKUP(orders!C920,customers!$A$1:$A$1001,customers!$C$1:$C$1001,,0)=0,"",_xlfn.XLOOKUP(orders!C920,customers!$A$1:$A$1001,customers!$C$1:$C$1001,,0))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3"/>
        <v>21.87</v>
      </c>
      <c r="N920" t="str">
        <f t="shared" si="45"/>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_xlfn.XLOOKUP(orders!C921,customers!$A$1:$A$1001,customers!$B$1:$B$1001,,0)</f>
        <v>Quintina Heavyside</v>
      </c>
      <c r="G921" s="2" t="str">
        <f>IF(_xlfn.XLOOKUP(orders!C921,customers!$A$1:$A$1001,customers!$C$1:$C$1001,,0)=0,"",_xlfn.XLOOKUP(orders!C921,customers!$A$1:$A$1001,customers!$C$1:$C$1001,,0))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3"/>
        <v>13.424999999999997</v>
      </c>
      <c r="N921" t="str">
        <f t="shared" si="45"/>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_xlfn.XLOOKUP(orders!C922,customers!$A$1:$A$1001,customers!$B$1:$B$1001,,0)</f>
        <v>Hadley Reuven</v>
      </c>
      <c r="G922" s="2" t="str">
        <f>IF(_xlfn.XLOOKUP(orders!C922,customers!$A$1:$A$1001,customers!$C$1:$C$1001,,0)=0,"",_xlfn.XLOOKUP(orders!C922,customers!$A$1:$A$1001,customers!$C$1:$C$1001,,0))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3"/>
        <v>123.50999999999999</v>
      </c>
      <c r="N922" t="str">
        <f t="shared" si="45"/>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_xlfn.XLOOKUP(orders!C923,customers!$A$1:$A$1001,customers!$B$1:$B$1001,,0)</f>
        <v>Mitch Attwool</v>
      </c>
      <c r="G923" s="2" t="str">
        <f>IF(_xlfn.XLOOKUP(orders!C923,customers!$A$1:$A$1001,customers!$C$1:$C$1001,,0)=0,"",_xlfn.XLOOKUP(orders!C923,customers!$A$1:$A$1001,customers!$C$1:$C$1001,,0))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3"/>
        <v>7.77</v>
      </c>
      <c r="N923" t="str">
        <f t="shared" si="45"/>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_xlfn.XLOOKUP(orders!C924,customers!$A$1:$A$1001,customers!$B$1:$B$1001,,0)</f>
        <v>Charin Maplethorp</v>
      </c>
      <c r="G924" s="2" t="str">
        <f>IF(_xlfn.XLOOKUP(orders!C924,customers!$A$1:$A$1001,customers!$C$1:$C$1001,,0)=0,"",_xlfn.XLOOKUP(orders!C924,customers!$A$1:$A$1001,customers!$C$1:$C$1001,,0))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3"/>
        <v>67.5</v>
      </c>
      <c r="N924" t="str">
        <f t="shared" si="45"/>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_xlfn.XLOOKUP(orders!C925,customers!$A$1:$A$1001,customers!$B$1:$B$1001,,0)</f>
        <v>Goldie Wynes</v>
      </c>
      <c r="G925" s="2" t="str">
        <f>IF(_xlfn.XLOOKUP(orders!C925,customers!$A$1:$A$1001,customers!$C$1:$C$1001,,0)=0,"",_xlfn.XLOOKUP(orders!C925,customers!$A$1:$A$1001,customers!$C$1:$C$1001,,0))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3"/>
        <v>27.945</v>
      </c>
      <c r="N925" t="str">
        <f t="shared" si="45"/>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_xlfn.XLOOKUP(orders!C926,customers!$A$1:$A$1001,customers!$B$1:$B$1001,,0)</f>
        <v>Celie MacCourt</v>
      </c>
      <c r="G926" s="2" t="str">
        <f>IF(_xlfn.XLOOKUP(orders!C926,customers!$A$1:$A$1001,customers!$C$1:$C$1001,,0)=0,"",_xlfn.XLOOKUP(orders!C926,customers!$A$1:$A$1001,customers!$C$1:$C$1001,,0))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3"/>
        <v>89.35499999999999</v>
      </c>
      <c r="N926" t="str">
        <f t="shared" si="45"/>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_xlfn.XLOOKUP(orders!C927,customers!$A$1:$A$1001,customers!$B$1:$B$1001,,0)</f>
        <v>Derick Snow</v>
      </c>
      <c r="G927" s="2" t="str">
        <f>IF(_xlfn.XLOOKUP(orders!C927,customers!$A$1:$A$1001,customers!$C$1:$C$1001,,0)=0,"",_xlfn.XLOOKUP(orders!C927,customers!$A$1:$A$1001,customers!$C$1:$C$1001,,0))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3"/>
        <v>20.25</v>
      </c>
      <c r="N927" t="str">
        <f t="shared" si="45"/>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_xlfn.XLOOKUP(orders!C928,customers!$A$1:$A$1001,customers!$B$1:$B$1001,,0)</f>
        <v>Evy Wilsone</v>
      </c>
      <c r="G928" s="2" t="str">
        <f>IF(_xlfn.XLOOKUP(orders!C928,customers!$A$1:$A$1001,customers!$C$1:$C$1001,,0)=0,"",_xlfn.XLOOKUP(orders!C928,customers!$A$1:$A$1001,customers!$C$1:$C$1001,,0))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3"/>
        <v>33.75</v>
      </c>
      <c r="N928" t="str">
        <f t="shared" si="45"/>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_xlfn.XLOOKUP(orders!C929,customers!$A$1:$A$1001,customers!$B$1:$B$1001,,0)</f>
        <v>Dolores Duffie</v>
      </c>
      <c r="G929" s="2" t="str">
        <f>IF(_xlfn.XLOOKUP(orders!C929,customers!$A$1:$A$1001,customers!$C$1:$C$1001,,0)=0,"",_xlfn.XLOOKUP(orders!C929,customers!$A$1:$A$1001,customers!$C$1:$C$1001,,0))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3"/>
        <v>111.78</v>
      </c>
      <c r="N929" t="str">
        <f t="shared" si="45"/>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_xlfn.XLOOKUP(orders!C930,customers!$A$1:$A$1001,customers!$B$1:$B$1001,,0)</f>
        <v>Mathilda Matiasek</v>
      </c>
      <c r="G930" s="2" t="str">
        <f>IF(_xlfn.XLOOKUP(orders!C930,customers!$A$1:$A$1001,customers!$C$1:$C$1001,,0)=0,"",_xlfn.XLOOKUP(orders!C930,customers!$A$1:$A$1001,customers!$C$1:$C$1001,,0))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3"/>
        <v>63.249999999999993</v>
      </c>
      <c r="N930" t="str">
        <f t="shared" si="45"/>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_xlfn.XLOOKUP(orders!C931,customers!$A$1:$A$1001,customers!$B$1:$B$1001,,0)</f>
        <v>Jarred Camillo</v>
      </c>
      <c r="G931" s="2" t="str">
        <f>IF(_xlfn.XLOOKUP(orders!C931,customers!$A$1:$A$1001,customers!$C$1:$C$1001,,0)=0,"",_xlfn.XLOOKUP(orders!C931,customers!$A$1:$A$1001,customers!$C$1:$C$1001,,0))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3"/>
        <v>8.91</v>
      </c>
      <c r="N931" t="str">
        <f t="shared" si="45"/>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_xlfn.XLOOKUP(orders!C932,customers!$A$1:$A$1001,customers!$B$1:$B$1001,,0)</f>
        <v>Kameko Philbrick</v>
      </c>
      <c r="G932" s="2" t="str">
        <f>IF(_xlfn.XLOOKUP(orders!C932,customers!$A$1:$A$1001,customers!$C$1:$C$1001,,0)=0,"",_xlfn.XLOOKUP(orders!C932,customers!$A$1:$A$1001,customers!$C$1:$C$1001,,0))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3"/>
        <v>12.15</v>
      </c>
      <c r="N932" t="str">
        <f t="shared" si="45"/>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_xlfn.XLOOKUP(orders!C933,customers!$A$1:$A$1001,customers!$B$1:$B$1001,,0)</f>
        <v>Mallory Shrimpling</v>
      </c>
      <c r="G933" s="2" t="str">
        <f>IF(_xlfn.XLOOKUP(orders!C933,customers!$A$1:$A$1001,customers!$C$1:$C$1001,,0)=0,"",_xlfn.XLOOKUP(orders!C933,customers!$A$1:$A$1001,customers!$C$1:$C$1001,,0))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3"/>
        <v>23.88</v>
      </c>
      <c r="N933" t="str">
        <f t="shared" si="45"/>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_xlfn.XLOOKUP(orders!C934,customers!$A$1:$A$1001,customers!$B$1:$B$1001,,0)</f>
        <v>Barnett Sillis</v>
      </c>
      <c r="G934" s="2" t="str">
        <f>IF(_xlfn.XLOOKUP(orders!C934,customers!$A$1:$A$1001,customers!$C$1:$C$1001,,0)=0,"",_xlfn.XLOOKUP(orders!C934,customers!$A$1:$A$1001,customers!$C$1:$C$1001,,0))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3"/>
        <v>55</v>
      </c>
      <c r="N934" t="str">
        <f t="shared" si="45"/>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_xlfn.XLOOKUP(orders!C935,customers!$A$1:$A$1001,customers!$B$1:$B$1001,,0)</f>
        <v>Brenn Dundredge</v>
      </c>
      <c r="G935" s="2" t="str">
        <f>IF(_xlfn.XLOOKUP(orders!C935,customers!$A$1:$A$1001,customers!$C$1:$C$1001,,0)=0,"",_xlfn.XLOOKUP(orders!C935,customers!$A$1:$A$1001,customers!$C$1:$C$1001,,0))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3"/>
        <v>26.849999999999998</v>
      </c>
      <c r="N935" t="str">
        <f t="shared" si="45"/>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_xlfn.XLOOKUP(orders!C936,customers!$A$1:$A$1001,customers!$B$1:$B$1001,,0)</f>
        <v>Read Cutts</v>
      </c>
      <c r="G936" s="2" t="str">
        <f>IF(_xlfn.XLOOKUP(orders!C936,customers!$A$1:$A$1001,customers!$C$1:$C$1001,,0)=0,"",_xlfn.XLOOKUP(orders!C936,customers!$A$1:$A$1001,customers!$C$1:$C$1001,,0))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3"/>
        <v>114.42499999999998</v>
      </c>
      <c r="N936" t="str">
        <f t="shared" si="45"/>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_xlfn.XLOOKUP(orders!C937,customers!$A$1:$A$1001,customers!$B$1:$B$1001,,0)</f>
        <v>Michale Delves</v>
      </c>
      <c r="G937" s="2" t="str">
        <f>IF(_xlfn.XLOOKUP(orders!C937,customers!$A$1:$A$1001,customers!$C$1:$C$1001,,0)=0,"",_xlfn.XLOOKUP(orders!C937,customers!$A$1:$A$1001,customers!$C$1:$C$1001,,0))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3"/>
        <v>155.24999999999997</v>
      </c>
      <c r="N937" t="str">
        <f t="shared" si="45"/>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_xlfn.XLOOKUP(orders!C938,customers!$A$1:$A$1001,customers!$B$1:$B$1001,,0)</f>
        <v>Devland Gritton</v>
      </c>
      <c r="G938" s="2" t="str">
        <f>IF(_xlfn.XLOOKUP(orders!C938,customers!$A$1:$A$1001,customers!$C$1:$C$1001,,0)=0,"",_xlfn.XLOOKUP(orders!C938,customers!$A$1:$A$1001,customers!$C$1:$C$1001,,0))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3"/>
        <v>23.31</v>
      </c>
      <c r="N938" t="str">
        <f t="shared" si="45"/>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_xlfn.XLOOKUP(orders!C939,customers!$A$1:$A$1001,customers!$B$1:$B$1001,,0)</f>
        <v>Devland Gritton</v>
      </c>
      <c r="G939" s="2" t="str">
        <f>IF(_xlfn.XLOOKUP(orders!C939,customers!$A$1:$A$1001,customers!$C$1:$C$1001,,0)=0,"",_xlfn.XLOOKUP(orders!C939,customers!$A$1:$A$1001,customers!$C$1:$C$1001,,0))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3"/>
        <v>91.539999999999992</v>
      </c>
      <c r="N939" t="str">
        <f t="shared" si="45"/>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_xlfn.XLOOKUP(orders!C940,customers!$A$1:$A$1001,customers!$B$1:$B$1001,,0)</f>
        <v>Dell Gut</v>
      </c>
      <c r="G940" s="2" t="str">
        <f>IF(_xlfn.XLOOKUP(orders!C940,customers!$A$1:$A$1001,customers!$C$1:$C$1001,,0)=0,"",_xlfn.XLOOKUP(orders!C940,customers!$A$1:$A$1001,customers!$C$1:$C$1001,,0))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3"/>
        <v>74.25</v>
      </c>
      <c r="N940" t="str">
        <f t="shared" si="45"/>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_xlfn.XLOOKUP(orders!C941,customers!$A$1:$A$1001,customers!$B$1:$B$1001,,0)</f>
        <v>Willy Pummery</v>
      </c>
      <c r="G941" s="2" t="str">
        <f>IF(_xlfn.XLOOKUP(orders!C941,customers!$A$1:$A$1001,customers!$C$1:$C$1001,,0)=0,"",_xlfn.XLOOKUP(orders!C941,customers!$A$1:$A$1001,customers!$C$1:$C$1001,,0))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3"/>
        <v>28.53</v>
      </c>
      <c r="N941" t="str">
        <f t="shared" si="45"/>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_xlfn.XLOOKUP(orders!C942,customers!$A$1:$A$1001,customers!$B$1:$B$1001,,0)</f>
        <v>Geoffrey Siuda</v>
      </c>
      <c r="G942" s="2" t="str">
        <f>IF(_xlfn.XLOOKUP(orders!C942,customers!$A$1:$A$1001,customers!$C$1:$C$1001,,0)=0,"",_xlfn.XLOOKUP(orders!C942,customers!$A$1:$A$1001,customers!$C$1:$C$1001,,0))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3"/>
        <v>14.339999999999998</v>
      </c>
      <c r="N942" t="str">
        <f t="shared" si="45"/>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_xlfn.XLOOKUP(orders!C943,customers!$A$1:$A$1001,customers!$B$1:$B$1001,,0)</f>
        <v>Henderson Crowne</v>
      </c>
      <c r="G943" s="2" t="str">
        <f>IF(_xlfn.XLOOKUP(orders!C943,customers!$A$1:$A$1001,customers!$C$1:$C$1001,,0)=0,"",_xlfn.XLOOKUP(orders!C943,customers!$A$1:$A$1001,customers!$C$1:$C$1001,,0))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3"/>
        <v>15.54</v>
      </c>
      <c r="N943" t="str">
        <f t="shared" si="45"/>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_xlfn.XLOOKUP(orders!C944,customers!$A$1:$A$1001,customers!$B$1:$B$1001,,0)</f>
        <v>Vernor Pawsey</v>
      </c>
      <c r="G944" s="2" t="str">
        <f>IF(_xlfn.XLOOKUP(orders!C944,customers!$A$1:$A$1001,customers!$C$1:$C$1001,,0)=0,"",_xlfn.XLOOKUP(orders!C944,customers!$A$1:$A$1001,customers!$C$1:$C$1001,,0))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3"/>
        <v>35.849999999999994</v>
      </c>
      <c r="N944" t="str">
        <f t="shared" si="45"/>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_xlfn.XLOOKUP(orders!C945,customers!$A$1:$A$1001,customers!$B$1:$B$1001,,0)</f>
        <v>Augustin Waterhouse</v>
      </c>
      <c r="G945" s="2" t="str">
        <f>IF(_xlfn.XLOOKUP(orders!C945,customers!$A$1:$A$1001,customers!$C$1:$C$1001,,0)=0,"",_xlfn.XLOOKUP(orders!C945,customers!$A$1:$A$1001,customers!$C$1:$C$1001,,0))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3"/>
        <v>46.62</v>
      </c>
      <c r="N945" t="str">
        <f t="shared" si="45"/>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_xlfn.XLOOKUP(orders!C946,customers!$A$1:$A$1001,customers!$B$1:$B$1001,,0)</f>
        <v>Fanchon Haughian</v>
      </c>
      <c r="G946" s="2" t="str">
        <f>IF(_xlfn.XLOOKUP(orders!C946,customers!$A$1:$A$1001,customers!$C$1:$C$1001,,0)=0,"",_xlfn.XLOOKUP(orders!C946,customers!$A$1:$A$1001,customers!$C$1:$C$1001,,0))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3"/>
        <v>35.849999999999994</v>
      </c>
      <c r="N946" t="str">
        <f t="shared" si="45"/>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_xlfn.XLOOKUP(orders!C947,customers!$A$1:$A$1001,customers!$B$1:$B$1001,,0)</f>
        <v>Jaimie Hatz</v>
      </c>
      <c r="G947" s="2" t="str">
        <f>IF(_xlfn.XLOOKUP(orders!C947,customers!$A$1:$A$1001,customers!$C$1:$C$1001,,0)=0,"",_xlfn.XLOOKUP(orders!C947,customers!$A$1:$A$1001,customers!$C$1:$C$1001,,0))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3"/>
        <v>119.13999999999999</v>
      </c>
      <c r="N947" t="str">
        <f t="shared" si="45"/>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_xlfn.XLOOKUP(orders!C948,customers!$A$1:$A$1001,customers!$B$1:$B$1001,,0)</f>
        <v>Edeline Edney</v>
      </c>
      <c r="G948" s="2" t="str">
        <f>IF(_xlfn.XLOOKUP(orders!C948,customers!$A$1:$A$1001,customers!$C$1:$C$1001,,0)=0,"",_xlfn.XLOOKUP(orders!C948,customers!$A$1:$A$1001,customers!$C$1:$C$1001,,0))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3"/>
        <v>23.31</v>
      </c>
      <c r="N948" t="str">
        <f t="shared" si="45"/>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_xlfn.XLOOKUP(orders!C949,customers!$A$1:$A$1001,customers!$B$1:$B$1001,,0)</f>
        <v>Rickie Faltin</v>
      </c>
      <c r="G949" s="2" t="str">
        <f>IF(_xlfn.XLOOKUP(orders!C949,customers!$A$1:$A$1001,customers!$C$1:$C$1001,,0)=0,"",_xlfn.XLOOKUP(orders!C949,customers!$A$1:$A$1001,customers!$C$1:$C$1001,,0))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3"/>
        <v>11.25</v>
      </c>
      <c r="N949" t="str">
        <f t="shared" si="45"/>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_xlfn.XLOOKUP(orders!C950,customers!$A$1:$A$1001,customers!$B$1:$B$1001,,0)</f>
        <v>Gnni Cheeke</v>
      </c>
      <c r="G950" s="2" t="str">
        <f>IF(_xlfn.XLOOKUP(orders!C950,customers!$A$1:$A$1001,customers!$C$1:$C$1001,,0)=0,"",_xlfn.XLOOKUP(orders!C950,customers!$A$1:$A$1001,customers!$C$1:$C$1001,,0))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3"/>
        <v>83.835000000000008</v>
      </c>
      <c r="N950" t="str">
        <f t="shared" si="45"/>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_xlfn.XLOOKUP(orders!C951,customers!$A$1:$A$1001,customers!$B$1:$B$1001,,0)</f>
        <v>Gwenni Ratt</v>
      </c>
      <c r="G951" s="2" t="str">
        <f>IF(_xlfn.XLOOKUP(orders!C951,customers!$A$1:$A$1001,customers!$C$1:$C$1001,,0)=0,"",_xlfn.XLOOKUP(orders!C951,customers!$A$1:$A$1001,customers!$C$1:$C$1001,,0))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3"/>
        <v>109.93999999999998</v>
      </c>
      <c r="N951" t="str">
        <f t="shared" si="45"/>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_xlfn.XLOOKUP(orders!C952,customers!$A$1:$A$1001,customers!$B$1:$B$1001,,0)</f>
        <v>Johnath Fairebrother</v>
      </c>
      <c r="G952" s="2" t="str">
        <f>IF(_xlfn.XLOOKUP(orders!C952,customers!$A$1:$A$1001,customers!$C$1:$C$1001,,0)=0,"",_xlfn.XLOOKUP(orders!C952,customers!$A$1:$A$1001,customers!$C$1:$C$1001,,0))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3"/>
        <v>14.339999999999998</v>
      </c>
      <c r="N952" t="str">
        <f t="shared" si="45"/>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_xlfn.XLOOKUP(orders!C953,customers!$A$1:$A$1001,customers!$B$1:$B$1001,,0)</f>
        <v>Ingamar Eberlein</v>
      </c>
      <c r="G953" s="2" t="str">
        <f>IF(_xlfn.XLOOKUP(orders!C953,customers!$A$1:$A$1001,customers!$C$1:$C$1001,,0)=0,"",_xlfn.XLOOKUP(orders!C953,customers!$A$1:$A$1001,customers!$C$1:$C$1001,,0))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3"/>
        <v>21.509999999999998</v>
      </c>
      <c r="N953" t="str">
        <f t="shared" si="45"/>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_xlfn.XLOOKUP(orders!C954,customers!$A$1:$A$1001,customers!$B$1:$B$1001,,0)</f>
        <v>Jilly Dreng</v>
      </c>
      <c r="G954" s="2" t="str">
        <f>IF(_xlfn.XLOOKUP(orders!C954,customers!$A$1:$A$1001,customers!$C$1:$C$1001,,0)=0,"",_xlfn.XLOOKUP(orders!C954,customers!$A$1:$A$1001,customers!$C$1:$C$1001,,0))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3"/>
        <v>22.5</v>
      </c>
      <c r="N954" t="str">
        <f t="shared" si="45"/>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_xlfn.XLOOKUP(orders!C955,customers!$A$1:$A$1001,customers!$B$1:$B$1001,,0)</f>
        <v>Brenn Dundredge</v>
      </c>
      <c r="G955" s="2" t="str">
        <f>IF(_xlfn.XLOOKUP(orders!C955,customers!$A$1:$A$1001,customers!$C$1:$C$1001,,0)=0,"",_xlfn.XLOOKUP(orders!C955,customers!$A$1:$A$1001,customers!$C$1:$C$1001,,0))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3"/>
        <v>3.8849999999999998</v>
      </c>
      <c r="N955" t="str">
        <f t="shared" si="45"/>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_xlfn.XLOOKUP(orders!C956,customers!$A$1:$A$1001,customers!$B$1:$B$1001,,0)</f>
        <v>Brenn Dundredge</v>
      </c>
      <c r="G956" s="2" t="str">
        <f>IF(_xlfn.XLOOKUP(orders!C956,customers!$A$1:$A$1001,customers!$C$1:$C$1001,,0)=0,"",_xlfn.XLOOKUP(orders!C956,customers!$A$1:$A$1001,customers!$C$1:$C$1001,,0))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3"/>
        <v>27.945</v>
      </c>
      <c r="N956" t="str">
        <f t="shared" si="45"/>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_xlfn.XLOOKUP(orders!C957,customers!$A$1:$A$1001,customers!$B$1:$B$1001,,0)</f>
        <v>Brenn Dundredge</v>
      </c>
      <c r="G957" s="2" t="str">
        <f>IF(_xlfn.XLOOKUP(orders!C957,customers!$A$1:$A$1001,customers!$C$1:$C$1001,,0)=0,"",_xlfn.XLOOKUP(orders!C957,customers!$A$1:$A$1001,customers!$C$1:$C$1001,,0))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3"/>
        <v>170.77499999999998</v>
      </c>
      <c r="N957" t="str">
        <f t="shared" si="45"/>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_xlfn.XLOOKUP(orders!C958,customers!$A$1:$A$1001,customers!$B$1:$B$1001,,0)</f>
        <v>Brenn Dundredge</v>
      </c>
      <c r="G958" s="2" t="str">
        <f>IF(_xlfn.XLOOKUP(orders!C958,customers!$A$1:$A$1001,customers!$C$1:$C$1001,,0)=0,"",_xlfn.XLOOKUP(orders!C958,customers!$A$1:$A$1001,customers!$C$1:$C$1001,,0))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3"/>
        <v>54.969999999999992</v>
      </c>
      <c r="N958" t="str">
        <f t="shared" si="45"/>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_xlfn.XLOOKUP(orders!C959,customers!$A$1:$A$1001,customers!$B$1:$B$1001,,0)</f>
        <v>Brenn Dundredge</v>
      </c>
      <c r="G959" s="2" t="str">
        <f>IF(_xlfn.XLOOKUP(orders!C959,customers!$A$1:$A$1001,customers!$C$1:$C$1001,,0)=0,"",_xlfn.XLOOKUP(orders!C959,customers!$A$1:$A$1001,customers!$C$1:$C$1001,,0))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3"/>
        <v>14.85</v>
      </c>
      <c r="N959" t="str">
        <f t="shared" si="45"/>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_xlfn.XLOOKUP(orders!C960,customers!$A$1:$A$1001,customers!$B$1:$B$1001,,0)</f>
        <v>Brenn Dundredge</v>
      </c>
      <c r="G960" s="2" t="str">
        <f>IF(_xlfn.XLOOKUP(orders!C960,customers!$A$1:$A$1001,customers!$C$1:$C$1001,,0)=0,"",_xlfn.XLOOKUP(orders!C960,customers!$A$1:$A$1001,customers!$C$1:$C$1001,,0))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3"/>
        <v>7.77</v>
      </c>
      <c r="N960" t="str">
        <f t="shared" si="45"/>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_xlfn.XLOOKUP(orders!C961,customers!$A$1:$A$1001,customers!$B$1:$B$1001,,0)</f>
        <v>Rhodie Strathern</v>
      </c>
      <c r="G961" s="2" t="str">
        <f>IF(_xlfn.XLOOKUP(orders!C961,customers!$A$1:$A$1001,customers!$C$1:$C$1001,,0)=0,"",_xlfn.XLOOKUP(orders!C961,customers!$A$1:$A$1001,customers!$C$1:$C$1001,,0))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3"/>
        <v>23.774999999999999</v>
      </c>
      <c r="N961" t="str">
        <f t="shared" si="45"/>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_xlfn.XLOOKUP(orders!C962,customers!$A$1:$A$1001,customers!$B$1:$B$1001,,0)</f>
        <v>Chad Miguel</v>
      </c>
      <c r="G962" s="2" t="str">
        <f>IF(_xlfn.XLOOKUP(orders!C962,customers!$A$1:$A$1001,customers!$C$1:$C$1001,,0)=0,"",_xlfn.XLOOKUP(orders!C962,customers!$A$1:$A$1001,customers!$C$1:$C$1001,,0))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3"/>
        <v>79.25</v>
      </c>
      <c r="N962" t="str">
        <f t="shared" si="45"/>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_xlfn.XLOOKUP(orders!C963,customers!$A$1:$A$1001,customers!$B$1:$B$1001,,0)</f>
        <v>Florinda Matusovsky</v>
      </c>
      <c r="G963" s="2" t="str">
        <f>IF(_xlfn.XLOOKUP(orders!C963,customers!$A$1:$A$1001,customers!$C$1:$C$1001,,0)=0,"",_xlfn.XLOOKUP(orders!C963,customers!$A$1:$A$1001,customers!$C$1:$C$1001,,0))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6">L963*E963</f>
        <v>45.769999999999996</v>
      </c>
      <c r="N963" t="str">
        <f t="shared" si="45"/>
        <v>Arabica</v>
      </c>
      <c r="O963" t="str">
        <f t="shared" ref="O963:O1001" si="47">IF(J963="M","Medium",IF(J963= "L", "Light",IF(J963="D", "Dark","")))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_xlfn.XLOOKUP(orders!C964,customers!$A$1:$A$1001,customers!$B$1:$B$1001,,0)</f>
        <v>Morly Rocks</v>
      </c>
      <c r="G964" s="2" t="str">
        <f>IF(_xlfn.XLOOKUP(orders!C964,customers!$A$1:$A$1001,customers!$C$1:$C$1001,,0)=0,"",_xlfn.XLOOKUP(orders!C964,customers!$A$1:$A$1001,customers!$C$1:$C$1001,,0))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6"/>
        <v>8.9499999999999993</v>
      </c>
      <c r="N964" t="str">
        <f t="shared" si="45"/>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_xlfn.XLOOKUP(orders!C965,customers!$A$1:$A$1001,customers!$B$1:$B$1001,,0)</f>
        <v>Yuri Burrells</v>
      </c>
      <c r="G965" s="2" t="str">
        <f>IF(_xlfn.XLOOKUP(orders!C965,customers!$A$1:$A$1001,customers!$C$1:$C$1001,,0)=0,"",_xlfn.XLOOKUP(orders!C965,customers!$A$1:$A$1001,customers!$C$1:$C$1001,,0))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6"/>
        <v>23.88</v>
      </c>
      <c r="N965" t="str">
        <f t="shared" si="45"/>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_xlfn.XLOOKUP(orders!C966,customers!$A$1:$A$1001,customers!$B$1:$B$1001,,0)</f>
        <v>Cleopatra Goodrum</v>
      </c>
      <c r="G966" s="2" t="str">
        <f>IF(_xlfn.XLOOKUP(orders!C966,customers!$A$1:$A$1001,customers!$C$1:$C$1001,,0)=0,"",_xlfn.XLOOKUP(orders!C966,customers!$A$1:$A$1001,customers!$C$1:$C$1001,,0))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6"/>
        <v>22.274999999999999</v>
      </c>
      <c r="N966" t="str">
        <f t="shared" si="45"/>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_xlfn.XLOOKUP(orders!C967,customers!$A$1:$A$1001,customers!$B$1:$B$1001,,0)</f>
        <v>Joey Jefferys</v>
      </c>
      <c r="G967" s="2" t="str">
        <f>IF(_xlfn.XLOOKUP(orders!C967,customers!$A$1:$A$1001,customers!$C$1:$C$1001,,0)=0,"",_xlfn.XLOOKUP(orders!C967,customers!$A$1:$A$1001,customers!$C$1:$C$1001,,0))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6"/>
        <v>29.849999999999998</v>
      </c>
      <c r="N967" t="str">
        <f t="shared" si="45"/>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_xlfn.XLOOKUP(orders!C968,customers!$A$1:$A$1001,customers!$B$1:$B$1001,,0)</f>
        <v>Bearnard Wardell</v>
      </c>
      <c r="G968" s="2" t="str">
        <f>IF(_xlfn.XLOOKUP(orders!C968,customers!$A$1:$A$1001,customers!$C$1:$C$1001,,0)=0,"",_xlfn.XLOOKUP(orders!C968,customers!$A$1:$A$1001,customers!$C$1:$C$1001,,0))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6"/>
        <v>53.46</v>
      </c>
      <c r="N968" t="str">
        <f t="shared" ref="N968:N1001" si="48">IF(I968="Rob","Robusta",IF(I968="Exc","Excelsa",IF(I968="Ara","Arabica",IF(I968="Lib","Liberica"))))</f>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_xlfn.XLOOKUP(orders!C969,customers!$A$1:$A$1001,customers!$B$1:$B$1001,,0)</f>
        <v>Zeke Walisiak</v>
      </c>
      <c r="G969" s="2" t="str">
        <f>IF(_xlfn.XLOOKUP(orders!C969,customers!$A$1:$A$1001,customers!$C$1:$C$1001,,0)=0,"",_xlfn.XLOOKUP(orders!C969,customers!$A$1:$A$1001,customers!$C$1:$C$1001,,0))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6"/>
        <v>2.6849999999999996</v>
      </c>
      <c r="N969" t="str">
        <f t="shared" si="48"/>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_xlfn.XLOOKUP(orders!C970,customers!$A$1:$A$1001,customers!$B$1:$B$1001,,0)</f>
        <v>Wiley Leopold</v>
      </c>
      <c r="G970" s="2" t="str">
        <f>IF(_xlfn.XLOOKUP(orders!C970,customers!$A$1:$A$1001,customers!$C$1:$C$1001,,0)=0,"",_xlfn.XLOOKUP(orders!C970,customers!$A$1:$A$1001,customers!$C$1:$C$1001,,0))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6"/>
        <v>5.97</v>
      </c>
      <c r="N970" t="str">
        <f t="shared" si="48"/>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_xlfn.XLOOKUP(orders!C971,customers!$A$1:$A$1001,customers!$B$1:$B$1001,,0)</f>
        <v>Chiarra Shalders</v>
      </c>
      <c r="G971" s="2" t="str">
        <f>IF(_xlfn.XLOOKUP(orders!C971,customers!$A$1:$A$1001,customers!$C$1:$C$1001,,0)=0,"",_xlfn.XLOOKUP(orders!C971,customers!$A$1:$A$1001,customers!$C$1:$C$1001,,0))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6"/>
        <v>12.95</v>
      </c>
      <c r="N971" t="str">
        <f t="shared" si="48"/>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_xlfn.XLOOKUP(orders!C972,customers!$A$1:$A$1001,customers!$B$1:$B$1001,,0)</f>
        <v>Sharl Southerill</v>
      </c>
      <c r="G972" s="2" t="str">
        <f>IF(_xlfn.XLOOKUP(orders!C972,customers!$A$1:$A$1001,customers!$C$1:$C$1001,,0)=0,"",_xlfn.XLOOKUP(orders!C972,customers!$A$1:$A$1001,customers!$C$1:$C$1001,,0))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6"/>
        <v>8.25</v>
      </c>
      <c r="N972" t="str">
        <f t="shared" si="48"/>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_xlfn.XLOOKUP(orders!C973,customers!$A$1:$A$1001,customers!$B$1:$B$1001,,0)</f>
        <v>Noni Furber</v>
      </c>
      <c r="G973" s="2" t="str">
        <f>IF(_xlfn.XLOOKUP(orders!C973,customers!$A$1:$A$1001,customers!$C$1:$C$1001,,0)=0,"",_xlfn.XLOOKUP(orders!C973,customers!$A$1:$A$1001,customers!$C$1:$C$1001,,0))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6"/>
        <v>148.92499999999998</v>
      </c>
      <c r="N973" t="str">
        <f t="shared" si="48"/>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_xlfn.XLOOKUP(orders!C974,customers!$A$1:$A$1001,customers!$B$1:$B$1001,,0)</f>
        <v>Dinah Crutcher</v>
      </c>
      <c r="G974" s="2" t="str">
        <f>IF(_xlfn.XLOOKUP(orders!C974,customers!$A$1:$A$1001,customers!$C$1:$C$1001,,0)=0,"",_xlfn.XLOOKUP(orders!C974,customers!$A$1:$A$1001,customers!$C$1:$C$1001,,0))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6"/>
        <v>89.35499999999999</v>
      </c>
      <c r="N974" t="str">
        <f t="shared" si="48"/>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_xlfn.XLOOKUP(orders!C975,customers!$A$1:$A$1001,customers!$B$1:$B$1001,,0)</f>
        <v>Charlean Keave</v>
      </c>
      <c r="G975" s="2" t="str">
        <f>IF(_xlfn.XLOOKUP(orders!C975,customers!$A$1:$A$1001,customers!$C$1:$C$1001,,0)=0,"",_xlfn.XLOOKUP(orders!C975,customers!$A$1:$A$1001,customers!$C$1:$C$1001,,0))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6"/>
        <v>87.300000000000011</v>
      </c>
      <c r="N975" t="str">
        <f t="shared" si="48"/>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_xlfn.XLOOKUP(orders!C976,customers!$A$1:$A$1001,customers!$B$1:$B$1001,,0)</f>
        <v>Sada Roseborough</v>
      </c>
      <c r="G976" s="2" t="str">
        <f>IF(_xlfn.XLOOKUP(orders!C976,customers!$A$1:$A$1001,customers!$C$1:$C$1001,,0)=0,"",_xlfn.XLOOKUP(orders!C976,customers!$A$1:$A$1001,customers!$C$1:$C$1001,,0))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6"/>
        <v>5.3699999999999992</v>
      </c>
      <c r="N976" t="str">
        <f t="shared" si="48"/>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_xlfn.XLOOKUP(orders!C977,customers!$A$1:$A$1001,customers!$B$1:$B$1001,,0)</f>
        <v>Clayton Kingwell</v>
      </c>
      <c r="G977" s="2" t="str">
        <f>IF(_xlfn.XLOOKUP(orders!C977,customers!$A$1:$A$1001,customers!$C$1:$C$1001,,0)=0,"",_xlfn.XLOOKUP(orders!C977,customers!$A$1:$A$1001,customers!$C$1:$C$1001,,0))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6"/>
        <v>8.9550000000000001</v>
      </c>
      <c r="N977" t="str">
        <f t="shared" si="48"/>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_xlfn.XLOOKUP(orders!C978,customers!$A$1:$A$1001,customers!$B$1:$B$1001,,0)</f>
        <v>Kacy Canto</v>
      </c>
      <c r="G978" s="2" t="str">
        <f>IF(_xlfn.XLOOKUP(orders!C978,customers!$A$1:$A$1001,customers!$C$1:$C$1001,,0)=0,"",_xlfn.XLOOKUP(orders!C978,customers!$A$1:$A$1001,customers!$C$1:$C$1001,,0))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6"/>
        <v>137.42499999999998</v>
      </c>
      <c r="N978" t="str">
        <f t="shared" si="48"/>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_xlfn.XLOOKUP(orders!C979,customers!$A$1:$A$1001,customers!$B$1:$B$1001,,0)</f>
        <v>Mab Blakemore</v>
      </c>
      <c r="G979" s="2" t="str">
        <f>IF(_xlfn.XLOOKUP(orders!C979,customers!$A$1:$A$1001,customers!$C$1:$C$1001,,0)=0,"",_xlfn.XLOOKUP(orders!C979,customers!$A$1:$A$1001,customers!$C$1:$C$1001,,0))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6"/>
        <v>59.75</v>
      </c>
      <c r="N979" t="str">
        <f t="shared" si="48"/>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_xlfn.XLOOKUP(orders!C980,customers!$A$1:$A$1001,customers!$B$1:$B$1001,,0)</f>
        <v>Charlean Keave</v>
      </c>
      <c r="G980" s="2" t="str">
        <f>IF(_xlfn.XLOOKUP(orders!C980,customers!$A$1:$A$1001,customers!$C$1:$C$1001,,0)=0,"",_xlfn.XLOOKUP(orders!C980,customers!$A$1:$A$1001,customers!$C$1:$C$1001,,0))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6"/>
        <v>23.31</v>
      </c>
      <c r="N980" t="str">
        <f t="shared" si="48"/>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_xlfn.XLOOKUP(orders!C981,customers!$A$1:$A$1001,customers!$B$1:$B$1001,,0)</f>
        <v>Javier Causnett</v>
      </c>
      <c r="G981" s="2" t="str">
        <f>IF(_xlfn.XLOOKUP(orders!C981,customers!$A$1:$A$1001,customers!$C$1:$C$1001,,0)=0,"",_xlfn.XLOOKUP(orders!C981,customers!$A$1:$A$1001,customers!$C$1:$C$1001,,0))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6"/>
        <v>10.739999999999998</v>
      </c>
      <c r="N981" t="str">
        <f t="shared" si="48"/>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_xlfn.XLOOKUP(orders!C982,customers!$A$1:$A$1001,customers!$B$1:$B$1001,,0)</f>
        <v>Demetris Micheli</v>
      </c>
      <c r="G982" s="2" t="str">
        <f>IF(_xlfn.XLOOKUP(orders!C982,customers!$A$1:$A$1001,customers!$C$1:$C$1001,,0)=0,"",_xlfn.XLOOKUP(orders!C982,customers!$A$1:$A$1001,customers!$C$1:$C$1001,,0))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6"/>
        <v>167.67000000000002</v>
      </c>
      <c r="N982" t="str">
        <f t="shared" si="48"/>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_xlfn.XLOOKUP(orders!C983,customers!$A$1:$A$1001,customers!$B$1:$B$1001,,0)</f>
        <v>Chloette Bernardot</v>
      </c>
      <c r="G983" s="2" t="str">
        <f>IF(_xlfn.XLOOKUP(orders!C983,customers!$A$1:$A$1001,customers!$C$1:$C$1001,,0)=0,"",_xlfn.XLOOKUP(orders!C983,customers!$A$1:$A$1001,customers!$C$1:$C$1001,,0))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6"/>
        <v>21.87</v>
      </c>
      <c r="N983" t="str">
        <f t="shared" si="48"/>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_xlfn.XLOOKUP(orders!C984,customers!$A$1:$A$1001,customers!$B$1:$B$1001,,0)</f>
        <v>Kim Kemery</v>
      </c>
      <c r="G984" s="2" t="str">
        <f>IF(_xlfn.XLOOKUP(orders!C984,customers!$A$1:$A$1001,customers!$C$1:$C$1001,,0)=0,"",_xlfn.XLOOKUP(orders!C984,customers!$A$1:$A$1001,customers!$C$1:$C$1001,,0))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6"/>
        <v>23.9</v>
      </c>
      <c r="N984" t="str">
        <f t="shared" si="48"/>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_xlfn.XLOOKUP(orders!C985,customers!$A$1:$A$1001,customers!$B$1:$B$1001,,0)</f>
        <v>Fanchette Parlot</v>
      </c>
      <c r="G985" s="2" t="str">
        <f>IF(_xlfn.XLOOKUP(orders!C985,customers!$A$1:$A$1001,customers!$C$1:$C$1001,,0)=0,"",_xlfn.XLOOKUP(orders!C985,customers!$A$1:$A$1001,customers!$C$1:$C$1001,,0))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6"/>
        <v>6.75</v>
      </c>
      <c r="N985" t="str">
        <f t="shared" si="48"/>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_xlfn.XLOOKUP(orders!C986,customers!$A$1:$A$1001,customers!$B$1:$B$1001,,0)</f>
        <v>Ramon Cheak</v>
      </c>
      <c r="G986" s="2" t="str">
        <f>IF(_xlfn.XLOOKUP(orders!C986,customers!$A$1:$A$1001,customers!$C$1:$C$1001,,0)=0,"",_xlfn.XLOOKUP(orders!C986,customers!$A$1:$A$1001,customers!$C$1:$C$1001,,0))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6"/>
        <v>31.624999999999996</v>
      </c>
      <c r="N986" t="str">
        <f t="shared" si="48"/>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_xlfn.XLOOKUP(orders!C987,customers!$A$1:$A$1001,customers!$B$1:$B$1001,,0)</f>
        <v>Koressa O'Geneay</v>
      </c>
      <c r="G987" s="2" t="str">
        <f>IF(_xlfn.XLOOKUP(orders!C987,customers!$A$1:$A$1001,customers!$C$1:$C$1001,,0)=0,"",_xlfn.XLOOKUP(orders!C987,customers!$A$1:$A$1001,customers!$C$1:$C$1001,,0))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6"/>
        <v>47.8</v>
      </c>
      <c r="N987" t="str">
        <f t="shared" si="48"/>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_xlfn.XLOOKUP(orders!C988,customers!$A$1:$A$1001,customers!$B$1:$B$1001,,0)</f>
        <v>Claudell Ayre</v>
      </c>
      <c r="G988" s="2" t="str">
        <f>IF(_xlfn.XLOOKUP(orders!C988,customers!$A$1:$A$1001,customers!$C$1:$C$1001,,0)=0,"",_xlfn.XLOOKUP(orders!C988,customers!$A$1:$A$1001,customers!$C$1:$C$1001,,0))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6"/>
        <v>33.464999999999996</v>
      </c>
      <c r="N988" t="str">
        <f t="shared" si="48"/>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_xlfn.XLOOKUP(orders!C989,customers!$A$1:$A$1001,customers!$B$1:$B$1001,,0)</f>
        <v>Lorianne Kyneton</v>
      </c>
      <c r="G989" s="2" t="str">
        <f>IF(_xlfn.XLOOKUP(orders!C989,customers!$A$1:$A$1001,customers!$C$1:$C$1001,,0)=0,"",_xlfn.XLOOKUP(orders!C989,customers!$A$1:$A$1001,customers!$C$1:$C$1001,,0))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6"/>
        <v>29.849999999999998</v>
      </c>
      <c r="N989" t="str">
        <f t="shared" si="48"/>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_xlfn.XLOOKUP(orders!C990,customers!$A$1:$A$1001,customers!$B$1:$B$1001,,0)</f>
        <v>Adele McFayden</v>
      </c>
      <c r="G990" s="2" t="str">
        <f>IF(_xlfn.XLOOKUP(orders!C990,customers!$A$1:$A$1001,customers!$C$1:$C$1001,,0)=0,"",_xlfn.XLOOKUP(orders!C990,customers!$A$1:$A$1001,customers!$C$1:$C$1001,,0))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6"/>
        <v>29.849999999999998</v>
      </c>
      <c r="N990" t="str">
        <f t="shared" si="48"/>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_xlfn.XLOOKUP(orders!C991,customers!$A$1:$A$1001,customers!$B$1:$B$1001,,0)</f>
        <v>Herta Layne</v>
      </c>
      <c r="G991" s="2" t="str">
        <f>IF(_xlfn.XLOOKUP(orders!C991,customers!$A$1:$A$1001,customers!$C$1:$C$1001,,0)=0,"",_xlfn.XLOOKUP(orders!C991,customers!$A$1:$A$1001,customers!$C$1:$C$1001,,0))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6"/>
        <v>155.24999999999997</v>
      </c>
      <c r="N991" t="str">
        <f t="shared" si="48"/>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_xlfn.XLOOKUP(orders!C992,customers!$A$1:$A$1001,customers!$B$1:$B$1001,,0)</f>
        <v>Marguerite Graves</v>
      </c>
      <c r="G992" s="2" t="str">
        <f>IF(_xlfn.XLOOKUP(orders!C992,customers!$A$1:$A$1001,customers!$C$1:$C$1001,,0)=0,"",_xlfn.XLOOKUP(orders!C992,customers!$A$1:$A$1001,customers!$C$1:$C$1001,,0))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6"/>
        <v>18.225000000000001</v>
      </c>
      <c r="N992" t="str">
        <f t="shared" si="48"/>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_xlfn.XLOOKUP(orders!C993,customers!$A$1:$A$1001,customers!$B$1:$B$1001,,0)</f>
        <v>Marguerite Graves</v>
      </c>
      <c r="G993" s="2" t="str">
        <f>IF(_xlfn.XLOOKUP(orders!C993,customers!$A$1:$A$1001,customers!$C$1:$C$1001,,0)=0,"",_xlfn.XLOOKUP(orders!C993,customers!$A$1:$A$1001,customers!$C$1:$C$1001,,0))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6"/>
        <v>15.54</v>
      </c>
      <c r="N993" t="str">
        <f t="shared" si="48"/>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_xlfn.XLOOKUP(orders!C994,customers!$A$1:$A$1001,customers!$B$1:$B$1001,,0)</f>
        <v>Desdemona Eye</v>
      </c>
      <c r="G994" s="2" t="str">
        <f>IF(_xlfn.XLOOKUP(orders!C994,customers!$A$1:$A$1001,customers!$C$1:$C$1001,,0)=0,"",_xlfn.XLOOKUP(orders!C994,customers!$A$1:$A$1001,customers!$C$1:$C$1001,,0))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6"/>
        <v>109.36499999999999</v>
      </c>
      <c r="N994" t="str">
        <f t="shared" si="48"/>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_xlfn.XLOOKUP(orders!C995,customers!$A$1:$A$1001,customers!$B$1:$B$1001,,0)</f>
        <v>Margarette Sterland</v>
      </c>
      <c r="G995" s="2" t="str">
        <f>IF(_xlfn.XLOOKUP(orders!C995,customers!$A$1:$A$1001,customers!$C$1:$C$1001,,0)=0,"",_xlfn.XLOOKUP(orders!C995,customers!$A$1:$A$1001,customers!$C$1:$C$1001,,0))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6"/>
        <v>77.699999999999989</v>
      </c>
      <c r="N995" t="str">
        <f t="shared" si="48"/>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_xlfn.XLOOKUP(orders!C996,customers!$A$1:$A$1001,customers!$B$1:$B$1001,,0)</f>
        <v>Catharine Scoines</v>
      </c>
      <c r="G996" s="2" t="str">
        <f>IF(_xlfn.XLOOKUP(orders!C996,customers!$A$1:$A$1001,customers!$C$1:$C$1001,,0)=0,"",_xlfn.XLOOKUP(orders!C996,customers!$A$1:$A$1001,customers!$C$1:$C$1001,,0))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6"/>
        <v>8.9550000000000001</v>
      </c>
      <c r="N996" t="str">
        <f t="shared" si="48"/>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_xlfn.XLOOKUP(orders!C997,customers!$A$1:$A$1001,customers!$B$1:$B$1001,,0)</f>
        <v>Jennica Tewelson</v>
      </c>
      <c r="G997" s="2" t="str">
        <f>IF(_xlfn.XLOOKUP(orders!C997,customers!$A$1:$A$1001,customers!$C$1:$C$1001,,0)=0,"",_xlfn.XLOOKUP(orders!C997,customers!$A$1:$A$1001,customers!$C$1:$C$1001,,0))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6"/>
        <v>27.484999999999996</v>
      </c>
      <c r="N997" t="str">
        <f t="shared" si="48"/>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_xlfn.XLOOKUP(orders!C998,customers!$A$1:$A$1001,customers!$B$1:$B$1001,,0)</f>
        <v>Marguerite Graves</v>
      </c>
      <c r="G998" s="2" t="str">
        <f>IF(_xlfn.XLOOKUP(orders!C998,customers!$A$1:$A$1001,customers!$C$1:$C$1001,,0)=0,"",_xlfn.XLOOKUP(orders!C998,customers!$A$1:$A$1001,customers!$C$1:$C$1001,,0))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6"/>
        <v>29.849999999999998</v>
      </c>
      <c r="N998" t="str">
        <f t="shared" si="48"/>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_xlfn.XLOOKUP(orders!C999,customers!$A$1:$A$1001,customers!$B$1:$B$1001,,0)</f>
        <v>Marguerite Graves</v>
      </c>
      <c r="G999" s="2" t="str">
        <f>IF(_xlfn.XLOOKUP(orders!C999,customers!$A$1:$A$1001,customers!$C$1:$C$1001,,0)=0,"",_xlfn.XLOOKUP(orders!C999,customers!$A$1:$A$1001,customers!$C$1:$C$1001,,0))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6"/>
        <v>27</v>
      </c>
      <c r="N999" t="str">
        <f t="shared" si="48"/>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_xlfn.XLOOKUP(orders!C1000,customers!$A$1:$A$1001,customers!$B$1:$B$1001,,0)</f>
        <v>Nicolina Jenny</v>
      </c>
      <c r="G1000" s="2" t="str">
        <f>IF(_xlfn.XLOOKUP(orders!C1000,customers!$A$1:$A$1001,customers!$C$1:$C$1001,,0)=0,"",_xlfn.XLOOKUP(orders!C1000,customers!$A$1:$A$1001,customers!$C$1:$C$1001,,0))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6"/>
        <v>9.9499999999999993</v>
      </c>
      <c r="N1000" t="str">
        <f t="shared" si="48"/>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_xlfn.XLOOKUP(orders!C1001,customers!$A$1:$A$1001,customers!$B$1:$B$1001,,0)</f>
        <v>Vidovic Antonelli</v>
      </c>
      <c r="G1001" s="2" t="str">
        <f>IF(_xlfn.XLOOKUP(orders!C1001,customers!$A$1:$A$1001,customers!$C$1:$C$1001,,0)=0,"",_xlfn.XLOOKUP(orders!C1001,customers!$A$1:$A$1001,customers!$C$1:$C$1001,,0))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6"/>
        <v>12.375</v>
      </c>
      <c r="N1001" t="str">
        <f t="shared" si="48"/>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2" sqref="E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CoffeeSalesDashboard</vt:lpstr>
      <vt:lpstr>TatalSales</vt:lpstr>
      <vt:lpstr>SalesByCuntries</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user</cp:lastModifiedBy>
  <cp:revision/>
  <dcterms:created xsi:type="dcterms:W3CDTF">2022-11-26T09:51:45Z</dcterms:created>
  <dcterms:modified xsi:type="dcterms:W3CDTF">2026-08-08T15:46:35Z</dcterms:modified>
  <cp:category/>
  <cp:contentStatus/>
</cp:coreProperties>
</file>